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activeTab="5"/>
  </bookViews>
  <sheets>
    <sheet name="Bus data " sheetId="1" r:id="rId1"/>
    <sheet name="Branch data" sheetId="2" r:id="rId2"/>
    <sheet name="Forecasting active load (kW) " sheetId="3" r:id="rId3"/>
    <sheet name="Forecasting reactive load (kVar" sheetId="4" r:id="rId4"/>
    <sheet name="Wholesale  market Price($,MWh) " sheetId="5" r:id="rId5"/>
    <sheet name="Load nod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<sst xmlns="http://schemas.openxmlformats.org/spreadsheetml/2006/main" count="95" uniqueCount="44">
  <si>
    <t>BaseMVA</t>
  </si>
  <si>
    <t>100MVA</t>
  </si>
  <si>
    <t>baseKV</t>
  </si>
  <si>
    <t>13.3kV</t>
  </si>
  <si>
    <t>Vmax(p.u.)</t>
  </si>
  <si>
    <t>Vmin(p.u.)</t>
  </si>
  <si>
    <t>bus_f</t>
  </si>
  <si>
    <t>bus_t</t>
  </si>
  <si>
    <t>r(Ω)</t>
  </si>
  <si>
    <t>x(Ω)</t>
  </si>
  <si>
    <t>Fmax(kW)</t>
  </si>
  <si>
    <t>Fmax(p.u.)</t>
  </si>
  <si>
    <t>Bus_index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</si>
  <si>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</si>
  <si>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</si>
  <si>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</si>
  <si>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</si>
  <si>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</si>
  <si>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</si>
  <si>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</si>
  <si>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</si>
  <si>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</si>
  <si>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</si>
  <si>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</si>
  <si>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</si>
  <si>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</si>
  <si>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</si>
  <si>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</si>
  <si>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</si>
  <si>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</si>
  <si>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</si>
  <si>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</si>
  <si>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</si>
  <si>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</si>
  <si>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</si>
  <si>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</si>
  <si>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00:00:00</t>
  </si>
  <si>
    <t>total</t>
  </si>
  <si>
    <t>Energy</t>
  </si>
  <si>
    <t>adjustable</t>
  </si>
  <si>
    <t>p_min_factor</t>
  </si>
  <si>
    <t>p_max_factor</t>
  </si>
  <si>
    <t>utility_value_multiplier</t>
  </si>
  <si>
    <t>utility_curvature_multiplier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</si>
</sst>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0000"/>
    <numFmt numFmtId="178" formatCode="0.000000000"/>
  </numFmts>
  <fonts count="22">
    <font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  <xf numFmtId="0" fontId="21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wrapText="1"/>
    </xf>
    <xf numFmtId="20" fontId="1" fillId="0" borderId="1" xfId="0" applyNumberFormat="1" applyFont="1" applyBorder="1" applyAlignment="1">
      <alignment horizontal="center" wrapText="1"/>
    </xf>
    <xf numFmtId="176" fontId="1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right" wrapText="1"/>
    </xf>
    <xf numFmtId="20" fontId="1" fillId="0" borderId="0" xfId="0" applyNumberFormat="1" applyFont="1" applyAlignment="1">
      <alignment horizontal="right" wrapText="1"/>
    </xf>
    <xf numFmtId="0" fontId="1" fillId="0" borderId="0" xfId="0" applyFont="1" applyAlignment="1">
      <alignment horizontal="right"/>
    </xf>
    <xf numFmtId="177" fontId="0" fillId="0" borderId="0" xfId="0" applyNumberFormat="1"/>
    <xf numFmtId="178" fontId="0" fillId="0" borderId="0" xfId="0" applyNumberFormat="1"/>
    <xf numFmtId="0" fontId="1" fillId="0" borderId="1" xfId="0" applyFont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1562735</xdr:colOff>
      <xdr:row>8</xdr:row>
      <xdr:rowOff>15875</xdr:rowOff>
    </xdr:from>
    <xdr:to>
      <xdr:col>18</xdr:col>
      <xdr:colOff>287655</xdr:colOff>
      <xdr:row>28</xdr:row>
      <xdr:rowOff>6985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573135" y="1417955"/>
          <a:ext cx="7769860" cy="349631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C15" sqref="C15"/>
    </sheetView>
  </sheetViews>
  <sheetFormatPr defaultColWidth="8.88888888888889" defaultRowHeight="13.8" outlineLevelRow="3" outlineLevelCol="1"/>
  <cols>
    <col min="1" max="1" width="15.4444444444444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s="1" t="s">
        <v>4</v>
      </c>
      <c r="B3" s="1">
        <v>1.1</v>
      </c>
    </row>
    <row r="4" spans="1:2">
      <c r="A4" s="9" t="s">
        <v>5</v>
      </c>
      <c r="B4" s="1">
        <v>0.93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workbookViewId="0">
      <selection activeCell="A1" sqref="A1:D33"/>
    </sheetView>
  </sheetViews>
  <sheetFormatPr defaultColWidth="8.88888888888889" defaultRowHeight="13.8" outlineLevelCol="5"/>
  <cols>
    <col min="5" max="5" width="24.4444444444444" customWidth="1"/>
    <col min="6" max="6" width="23.5555555555556" customWidth="1"/>
  </cols>
  <sheetData>
    <row r="1" spans="1:6">
      <c r="A1" s="1" t="s">
        <v>6</v>
      </c>
      <c r="B1" s="1" t="s">
        <v>7</v>
      </c>
      <c r="C1" s="1" t="s">
        <v>8</v>
      </c>
      <c r="D1" s="1" t="s">
        <v>9</v>
      </c>
      <c r="E1" t="s">
        <v>10</v>
      </c>
      <c r="F1" t="s">
        <v>11</v>
      </c>
    </row>
    <row r="2" spans="1:6">
      <c r="A2" s="1">
        <v>1</v>
      </c>
      <c r="B2" s="1">
        <v>2</v>
      </c>
      <c r="C2" s="1">
        <v>0.0922</v>
      </c>
      <c r="D2" s="1">
        <v>0.047</v>
      </c>
      <c r="E2" s="7">
        <v>4480.8533</v>
      </c>
      <c r="F2" s="8">
        <v>0.044808533</v>
      </c>
    </row>
    <row r="3" spans="1:6">
      <c r="A3" s="1">
        <v>2</v>
      </c>
      <c r="B3" s="1">
        <v>3</v>
      </c>
      <c r="C3" s="1">
        <v>0.493</v>
      </c>
      <c r="D3" s="1">
        <v>0.2511</v>
      </c>
      <c r="E3" s="7">
        <v>3230</v>
      </c>
      <c r="F3" s="8">
        <v>0.0323</v>
      </c>
    </row>
    <row r="4" spans="1:6">
      <c r="A4" s="1">
        <v>3</v>
      </c>
      <c r="B4" s="1">
        <v>4</v>
      </c>
      <c r="C4" s="1">
        <v>0.366</v>
      </c>
      <c r="D4" s="1">
        <v>0.1864</v>
      </c>
      <c r="E4" s="7">
        <v>2120.6691489</v>
      </c>
      <c r="F4" s="8">
        <v>0.021206691489</v>
      </c>
    </row>
    <row r="5" spans="1:6">
      <c r="A5" s="1">
        <v>4</v>
      </c>
      <c r="B5" s="1">
        <v>5</v>
      </c>
      <c r="C5" s="1">
        <v>0.3811</v>
      </c>
      <c r="D5" s="1">
        <v>0.1941</v>
      </c>
      <c r="E5" s="7">
        <v>1871.5</v>
      </c>
      <c r="F5" s="8">
        <v>0.018715</v>
      </c>
    </row>
    <row r="6" spans="1:6">
      <c r="A6" s="1">
        <v>5</v>
      </c>
      <c r="B6" s="1">
        <v>6</v>
      </c>
      <c r="C6" s="1">
        <v>0.819</v>
      </c>
      <c r="D6" s="1">
        <v>0.707</v>
      </c>
      <c r="E6" s="7">
        <v>1814.5</v>
      </c>
      <c r="F6" s="8">
        <v>0.018145</v>
      </c>
    </row>
    <row r="7" spans="1:6">
      <c r="A7" s="1">
        <v>6</v>
      </c>
      <c r="B7" s="1">
        <v>7</v>
      </c>
      <c r="C7" s="1">
        <v>0.1872</v>
      </c>
      <c r="D7" s="1">
        <v>0.6188</v>
      </c>
      <c r="E7" s="7">
        <v>997.5</v>
      </c>
      <c r="F7" s="8">
        <v>0.009975</v>
      </c>
    </row>
    <row r="8" spans="1:6">
      <c r="A8" s="1">
        <v>7</v>
      </c>
      <c r="B8" s="1">
        <v>8</v>
      </c>
      <c r="C8" s="1">
        <v>1.7114</v>
      </c>
      <c r="D8" s="1">
        <v>1.2351</v>
      </c>
      <c r="E8" s="7">
        <v>807.5</v>
      </c>
      <c r="F8" s="8">
        <v>0.008075</v>
      </c>
    </row>
    <row r="9" spans="1:6">
      <c r="A9" s="1">
        <v>8</v>
      </c>
      <c r="B9" s="1">
        <v>9</v>
      </c>
      <c r="C9" s="1">
        <v>1.03</v>
      </c>
      <c r="D9" s="1">
        <v>0.74</v>
      </c>
      <c r="E9" s="7">
        <v>1235</v>
      </c>
      <c r="F9" s="8">
        <v>0.01235</v>
      </c>
    </row>
    <row r="10" spans="1:6">
      <c r="A10" s="1">
        <v>9</v>
      </c>
      <c r="B10" s="1">
        <v>10</v>
      </c>
      <c r="C10" s="1">
        <v>1.044</v>
      </c>
      <c r="D10" s="1">
        <v>0.74</v>
      </c>
      <c r="E10" s="7">
        <v>1121</v>
      </c>
      <c r="F10" s="8">
        <v>0.01121</v>
      </c>
    </row>
    <row r="11" spans="1:6">
      <c r="A11" s="1">
        <v>10</v>
      </c>
      <c r="B11" s="1">
        <v>11</v>
      </c>
      <c r="C11" s="1">
        <v>0.1966</v>
      </c>
      <c r="D11" s="1">
        <v>0.065</v>
      </c>
      <c r="E11" s="7">
        <v>1121</v>
      </c>
      <c r="F11" s="8">
        <v>0.01121</v>
      </c>
    </row>
    <row r="12" spans="1:6">
      <c r="A12" s="1">
        <v>11</v>
      </c>
      <c r="B12" s="1">
        <v>12</v>
      </c>
      <c r="C12" s="1">
        <v>0.3744</v>
      </c>
      <c r="D12" s="1">
        <v>0.1238</v>
      </c>
      <c r="E12" s="7">
        <v>969</v>
      </c>
      <c r="F12" s="8">
        <v>0.00969</v>
      </c>
    </row>
    <row r="13" spans="1:6">
      <c r="A13" s="1">
        <v>12</v>
      </c>
      <c r="B13" s="1">
        <v>13</v>
      </c>
      <c r="C13" s="1">
        <v>1.468</v>
      </c>
      <c r="D13" s="1">
        <v>1.155</v>
      </c>
      <c r="E13" s="7">
        <v>855</v>
      </c>
      <c r="F13" s="8">
        <v>0.00855</v>
      </c>
    </row>
    <row r="14" spans="1:6">
      <c r="A14" s="1">
        <v>13</v>
      </c>
      <c r="B14" s="1">
        <v>14</v>
      </c>
      <c r="C14" s="1">
        <v>0.5416</v>
      </c>
      <c r="D14" s="1">
        <v>0.7129</v>
      </c>
      <c r="E14" s="7">
        <v>741</v>
      </c>
      <c r="F14" s="8">
        <v>0.00741</v>
      </c>
    </row>
    <row r="15" spans="1:6">
      <c r="A15" s="1">
        <v>14</v>
      </c>
      <c r="B15" s="1">
        <v>15</v>
      </c>
      <c r="C15" s="1">
        <v>0.591</v>
      </c>
      <c r="D15" s="1">
        <v>0.526</v>
      </c>
      <c r="E15" s="7">
        <v>513</v>
      </c>
      <c r="F15" s="8">
        <v>0.00513</v>
      </c>
    </row>
    <row r="16" spans="1:6">
      <c r="A16" s="1">
        <v>15</v>
      </c>
      <c r="B16" s="1">
        <v>16</v>
      </c>
      <c r="C16" s="1">
        <v>0.7463</v>
      </c>
      <c r="D16" s="1">
        <v>0.545</v>
      </c>
      <c r="E16" s="7">
        <v>399</v>
      </c>
      <c r="F16" s="8">
        <v>0.00399</v>
      </c>
    </row>
    <row r="17" spans="1:6">
      <c r="A17" s="1">
        <v>16</v>
      </c>
      <c r="B17" s="1">
        <v>17</v>
      </c>
      <c r="C17" s="1">
        <v>1.289</v>
      </c>
      <c r="D17" s="1">
        <v>1.721</v>
      </c>
      <c r="E17" s="7">
        <v>285</v>
      </c>
      <c r="F17" s="8">
        <v>0.00285</v>
      </c>
    </row>
    <row r="18" spans="1:6">
      <c r="A18" s="1">
        <v>17</v>
      </c>
      <c r="B18" s="1">
        <v>18</v>
      </c>
      <c r="C18" s="1">
        <v>0.732</v>
      </c>
      <c r="D18" s="1">
        <v>0.574</v>
      </c>
      <c r="E18" s="7">
        <v>171</v>
      </c>
      <c r="F18" s="8">
        <v>0.00171</v>
      </c>
    </row>
    <row r="19" spans="1:6">
      <c r="A19" s="1">
        <v>2</v>
      </c>
      <c r="B19" s="1">
        <v>19</v>
      </c>
      <c r="C19" s="1">
        <v>0.164</v>
      </c>
      <c r="D19" s="1">
        <v>0.1565</v>
      </c>
      <c r="E19" s="7">
        <v>1003.4739</v>
      </c>
      <c r="F19" s="8">
        <v>0.010034739</v>
      </c>
    </row>
    <row r="20" spans="1:6">
      <c r="A20" s="1">
        <v>19</v>
      </c>
      <c r="B20" s="1">
        <v>20</v>
      </c>
      <c r="C20" s="1">
        <v>1.5042</v>
      </c>
      <c r="D20" s="1">
        <v>1.3554</v>
      </c>
      <c r="E20" s="7">
        <v>772.8534</v>
      </c>
      <c r="F20" s="8">
        <v>0.007728534</v>
      </c>
    </row>
    <row r="21" spans="1:6">
      <c r="A21" s="1">
        <v>20</v>
      </c>
      <c r="B21" s="1">
        <v>21</v>
      </c>
      <c r="C21" s="1">
        <v>0.4095</v>
      </c>
      <c r="D21" s="1">
        <v>0.4784</v>
      </c>
      <c r="E21" s="7">
        <v>508.7555</v>
      </c>
      <c r="F21" s="8">
        <v>0.005087555</v>
      </c>
    </row>
    <row r="22" spans="1:6">
      <c r="A22" s="1">
        <v>21</v>
      </c>
      <c r="B22" s="1">
        <v>22</v>
      </c>
      <c r="C22" s="1">
        <v>0.7089</v>
      </c>
      <c r="D22" s="1">
        <v>0.9373</v>
      </c>
      <c r="E22" s="7">
        <v>254.2452</v>
      </c>
      <c r="F22" s="8">
        <v>0.002542452</v>
      </c>
    </row>
    <row r="23" spans="1:6">
      <c r="A23" s="1">
        <v>3</v>
      </c>
      <c r="B23" s="1">
        <v>23</v>
      </c>
      <c r="C23" s="1">
        <v>0.4512</v>
      </c>
      <c r="D23" s="1">
        <v>0.3083</v>
      </c>
      <c r="E23" s="7">
        <v>883.5</v>
      </c>
      <c r="F23" s="8">
        <v>0.008835</v>
      </c>
    </row>
    <row r="24" spans="1:6">
      <c r="A24" s="1">
        <v>23</v>
      </c>
      <c r="B24" s="1">
        <v>24</v>
      </c>
      <c r="C24" s="1">
        <v>0.898</v>
      </c>
      <c r="D24" s="1">
        <v>0.7091</v>
      </c>
      <c r="E24" s="7">
        <v>798</v>
      </c>
      <c r="F24" s="8">
        <v>0.00798</v>
      </c>
    </row>
    <row r="25" spans="1:6">
      <c r="A25" s="1">
        <v>24</v>
      </c>
      <c r="B25" s="1">
        <v>25</v>
      </c>
      <c r="C25" s="1">
        <v>0.896</v>
      </c>
      <c r="D25" s="1">
        <v>0.7011</v>
      </c>
      <c r="E25" s="7">
        <v>399</v>
      </c>
      <c r="F25" s="8">
        <v>0.00399</v>
      </c>
    </row>
    <row r="26" spans="1:6">
      <c r="A26" s="1">
        <v>6</v>
      </c>
      <c r="B26" s="1">
        <v>26</v>
      </c>
      <c r="C26" s="1">
        <v>0.203</v>
      </c>
      <c r="D26" s="1">
        <v>0.1034</v>
      </c>
      <c r="E26" s="7">
        <v>1520</v>
      </c>
      <c r="F26" s="8">
        <v>0.0152</v>
      </c>
    </row>
    <row r="27" spans="1:6">
      <c r="A27" s="1">
        <v>26</v>
      </c>
      <c r="B27" s="1">
        <v>27</v>
      </c>
      <c r="C27" s="1">
        <v>0.2842</v>
      </c>
      <c r="D27" s="1">
        <v>0.1447</v>
      </c>
      <c r="E27" s="7">
        <v>1406</v>
      </c>
      <c r="F27" s="8">
        <v>0.01406</v>
      </c>
    </row>
    <row r="28" spans="1:6">
      <c r="A28" s="1">
        <v>27</v>
      </c>
      <c r="B28" s="1">
        <v>28</v>
      </c>
      <c r="C28" s="1">
        <v>1.059</v>
      </c>
      <c r="D28" s="1">
        <v>0.9337</v>
      </c>
      <c r="E28" s="7">
        <v>1406</v>
      </c>
      <c r="F28" s="8">
        <v>0.01406</v>
      </c>
    </row>
    <row r="29" spans="1:6">
      <c r="A29" s="1">
        <v>28</v>
      </c>
      <c r="B29" s="1">
        <v>29</v>
      </c>
      <c r="C29" s="1">
        <v>0.8042</v>
      </c>
      <c r="D29" s="1">
        <v>0.7006</v>
      </c>
      <c r="E29" s="7">
        <v>1292</v>
      </c>
      <c r="F29" s="8">
        <v>0.01292</v>
      </c>
    </row>
    <row r="30" spans="1:6">
      <c r="A30" s="1">
        <v>29</v>
      </c>
      <c r="B30" s="1">
        <v>30</v>
      </c>
      <c r="C30" s="1">
        <v>0.5075</v>
      </c>
      <c r="D30" s="1">
        <v>0.2585</v>
      </c>
      <c r="E30" s="7">
        <v>1064</v>
      </c>
      <c r="F30" s="8">
        <v>0.01064</v>
      </c>
    </row>
    <row r="31" spans="1:6">
      <c r="A31" s="1">
        <v>30</v>
      </c>
      <c r="B31" s="1">
        <v>31</v>
      </c>
      <c r="C31" s="1">
        <v>0.9744</v>
      </c>
      <c r="D31" s="1">
        <v>0.963</v>
      </c>
      <c r="E31" s="7">
        <v>1064</v>
      </c>
      <c r="F31" s="8">
        <v>0.01064</v>
      </c>
    </row>
    <row r="32" spans="1:6">
      <c r="A32" s="1">
        <v>31</v>
      </c>
      <c r="B32" s="1">
        <v>32</v>
      </c>
      <c r="C32" s="1">
        <v>0.3105</v>
      </c>
      <c r="D32" s="1">
        <v>0.3619</v>
      </c>
      <c r="E32" s="7">
        <v>779</v>
      </c>
      <c r="F32" s="8">
        <v>0.00779</v>
      </c>
    </row>
    <row r="33" spans="1:6">
      <c r="A33" s="1">
        <v>32</v>
      </c>
      <c r="B33" s="1">
        <v>33</v>
      </c>
      <c r="C33" s="1">
        <v>0.341</v>
      </c>
      <c r="D33" s="1">
        <v>0.5302</v>
      </c>
      <c r="E33" s="7">
        <v>380</v>
      </c>
      <c r="F33" s="8">
        <v>0.0038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4"/>
  <sheetViews>
    <sheetView workbookViewId="0">
      <selection activeCell="Q35" sqref="Q35"/>
    </sheetView>
  </sheetViews>
  <sheetFormatPr defaultColWidth="8.88888888888889" defaultRowHeight="13.8"/>
  <cols>
    <col min="2" max="9" width="9.66666666666667" customWidth="1"/>
    <col min="11" max="13" width="9.66666666666667" customWidth="1"/>
    <col min="15" max="15" width="9.66666666666667" customWidth="1"/>
    <col min="17" max="25" width="9.66666666666667" customWidth="1"/>
  </cols>
  <sheetData>
    <row r="1" ht="27.6" customHeight="1" spans="1:25">
      <c r="A1" s="4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5" t="s">
        <v>17</v>
      </c>
      <c r="G1" s="5" t="s">
        <v>18</v>
      </c>
      <c r="H1" s="5" t="s">
        <v>19</v>
      </c>
      <c r="I1" s="5" t="s">
        <v>20</v>
      </c>
      <c r="J1" s="5" t="s">
        <v>21</v>
      </c>
      <c r="K1" s="5" t="s">
        <v>22</v>
      </c>
      <c r="L1" s="5" t="s">
        <v>23</v>
      </c>
      <c r="M1" s="5" t="s">
        <v>24</v>
      </c>
      <c r="N1" s="5" t="s">
        <v>25</v>
      </c>
      <c r="O1" s="5" t="s">
        <v>26</v>
      </c>
      <c r="P1" s="5" t="s">
        <v>27</v>
      </c>
      <c r="Q1" s="5" t="s">
        <v>28</v>
      </c>
      <c r="R1" s="5" t="s">
        <v>29</v>
      </c>
      <c r="S1" s="5" t="s">
        <v>30</v>
      </c>
      <c r="T1" s="5" t="s">
        <v>31</v>
      </c>
      <c r="U1" s="5" t="s">
        <v>32</v>
      </c>
      <c r="V1" s="5" t="s">
        <v>33</v>
      </c>
      <c r="W1" s="5" t="s">
        <v>34</v>
      </c>
      <c r="X1" s="5" t="s">
        <v>35</v>
      </c>
      <c r="Y1" s="5" t="s">
        <v>36</v>
      </c>
    </row>
    <row r="2" spans="1:25">
      <c r="A2" s="4">
        <v>2</v>
      </c>
      <c r="B2" s="4">
        <v>183.503</v>
      </c>
      <c r="C2" s="4">
        <v>166.724</v>
      </c>
      <c r="D2" s="4">
        <v>154.552</v>
      </c>
      <c r="E2" s="4">
        <v>170.824</v>
      </c>
      <c r="F2" s="4">
        <v>154.461</v>
      </c>
      <c r="G2" s="4">
        <v>180.818</v>
      </c>
      <c r="H2" s="4">
        <v>202.621</v>
      </c>
      <c r="I2" s="4">
        <v>191.863</v>
      </c>
      <c r="J2" s="4">
        <v>196.616</v>
      </c>
      <c r="K2" s="4">
        <v>222.185</v>
      </c>
      <c r="L2" s="4">
        <v>180.183</v>
      </c>
      <c r="M2" s="4">
        <v>197.463</v>
      </c>
      <c r="N2" s="4">
        <v>193.973</v>
      </c>
      <c r="O2" s="4">
        <v>187.656</v>
      </c>
      <c r="P2" s="4">
        <v>200.314</v>
      </c>
      <c r="Q2" s="4">
        <v>186.564</v>
      </c>
      <c r="R2" s="4">
        <v>194.658</v>
      </c>
      <c r="S2" s="4">
        <v>221.893</v>
      </c>
      <c r="T2" s="4">
        <v>213.893</v>
      </c>
      <c r="U2" s="4">
        <v>236.113</v>
      </c>
      <c r="V2" s="4">
        <v>223.103</v>
      </c>
      <c r="W2" s="4">
        <v>209.432</v>
      </c>
      <c r="X2" s="4">
        <v>175.489</v>
      </c>
      <c r="Y2" s="4">
        <v>177.881</v>
      </c>
    </row>
    <row r="3" spans="1:25">
      <c r="A3" s="4">
        <v>3</v>
      </c>
      <c r="B3" s="4">
        <v>180.489</v>
      </c>
      <c r="C3" s="4">
        <v>167.661</v>
      </c>
      <c r="D3" s="4">
        <v>159.823</v>
      </c>
      <c r="E3" s="4">
        <v>155.747</v>
      </c>
      <c r="F3" s="4">
        <v>175.941</v>
      </c>
      <c r="G3" s="4">
        <v>175.856</v>
      </c>
      <c r="H3" s="4">
        <v>191.909</v>
      </c>
      <c r="I3" s="4">
        <v>207.252</v>
      </c>
      <c r="J3" s="4">
        <v>213.462</v>
      </c>
      <c r="K3" s="4">
        <v>212.44</v>
      </c>
      <c r="L3" s="4">
        <v>200.659</v>
      </c>
      <c r="M3" s="4">
        <v>213.501</v>
      </c>
      <c r="N3" s="4">
        <v>211.882</v>
      </c>
      <c r="O3" s="4">
        <v>193.935</v>
      </c>
      <c r="P3" s="4">
        <v>194.047</v>
      </c>
      <c r="Q3" s="4">
        <v>194.052</v>
      </c>
      <c r="R3" s="4">
        <v>187.339</v>
      </c>
      <c r="S3" s="4">
        <v>243.474</v>
      </c>
      <c r="T3" s="4">
        <v>247.173</v>
      </c>
      <c r="U3" s="4">
        <v>220.769</v>
      </c>
      <c r="V3" s="4">
        <v>207.84</v>
      </c>
      <c r="W3" s="4">
        <v>204.238</v>
      </c>
      <c r="X3" s="4">
        <v>193.846</v>
      </c>
      <c r="Y3" s="4">
        <v>174.918</v>
      </c>
    </row>
    <row r="4" spans="1:25">
      <c r="A4" s="4">
        <v>4</v>
      </c>
      <c r="B4" s="4">
        <v>169.1</v>
      </c>
      <c r="C4" s="4">
        <v>162.994</v>
      </c>
      <c r="D4" s="4">
        <v>150.202</v>
      </c>
      <c r="E4" s="4">
        <v>147.648</v>
      </c>
      <c r="F4" s="4">
        <v>168.184</v>
      </c>
      <c r="G4" s="4">
        <v>195.095</v>
      </c>
      <c r="H4" s="4">
        <v>209.852</v>
      </c>
      <c r="I4" s="4">
        <v>229.594</v>
      </c>
      <c r="J4" s="4">
        <v>217.806</v>
      </c>
      <c r="K4" s="4">
        <v>193.587</v>
      </c>
      <c r="L4" s="4">
        <v>212.35</v>
      </c>
      <c r="M4" s="4">
        <v>184.182</v>
      </c>
      <c r="N4" s="4">
        <v>183.333</v>
      </c>
      <c r="O4" s="4">
        <v>174.284</v>
      </c>
      <c r="P4" s="4">
        <v>186.036</v>
      </c>
      <c r="Q4" s="4">
        <v>188.964</v>
      </c>
      <c r="R4" s="4">
        <v>191.128</v>
      </c>
      <c r="S4" s="4">
        <v>232.407</v>
      </c>
      <c r="T4" s="4">
        <v>244.828</v>
      </c>
      <c r="U4" s="4">
        <v>229.22</v>
      </c>
      <c r="V4" s="4">
        <v>224.166</v>
      </c>
      <c r="W4" s="4">
        <v>222.555</v>
      </c>
      <c r="X4" s="4">
        <v>197.837</v>
      </c>
      <c r="Y4" s="4">
        <v>190.86</v>
      </c>
    </row>
    <row r="5" spans="1:25">
      <c r="A5" s="4">
        <v>5</v>
      </c>
      <c r="B5" s="4">
        <v>163.638</v>
      </c>
      <c r="C5" s="4">
        <v>154.231</v>
      </c>
      <c r="D5" s="4">
        <v>157.79</v>
      </c>
      <c r="E5" s="4">
        <v>153.833</v>
      </c>
      <c r="F5" s="4">
        <v>164.986</v>
      </c>
      <c r="G5" s="4">
        <v>190.492</v>
      </c>
      <c r="H5" s="4">
        <v>190.14</v>
      </c>
      <c r="I5" s="4">
        <v>211.354</v>
      </c>
      <c r="J5" s="4">
        <v>199.721</v>
      </c>
      <c r="K5" s="4">
        <v>216.793</v>
      </c>
      <c r="L5" s="4">
        <v>184.522</v>
      </c>
      <c r="M5" s="4">
        <v>187.989</v>
      </c>
      <c r="N5" s="4">
        <v>210.42</v>
      </c>
      <c r="O5" s="4">
        <v>195.638</v>
      </c>
      <c r="P5" s="4">
        <v>183.836</v>
      </c>
      <c r="Q5" s="4">
        <v>209.194</v>
      </c>
      <c r="R5" s="4">
        <v>192.26</v>
      </c>
      <c r="S5" s="4">
        <v>202.103</v>
      </c>
      <c r="T5" s="4">
        <v>232.348</v>
      </c>
      <c r="U5" s="4">
        <v>235.183</v>
      </c>
      <c r="V5" s="4">
        <v>228.925</v>
      </c>
      <c r="W5" s="4">
        <v>223.511</v>
      </c>
      <c r="X5" s="4">
        <v>189.506</v>
      </c>
      <c r="Y5" s="4">
        <v>179.069</v>
      </c>
    </row>
    <row r="6" spans="1:25">
      <c r="A6" s="4">
        <v>6</v>
      </c>
      <c r="B6" s="4">
        <v>165.283</v>
      </c>
      <c r="C6" s="4">
        <v>155.04</v>
      </c>
      <c r="D6" s="4">
        <v>179.024</v>
      </c>
      <c r="E6" s="4">
        <v>167.699</v>
      </c>
      <c r="F6" s="4">
        <v>172.315</v>
      </c>
      <c r="G6" s="4">
        <v>177.73</v>
      </c>
      <c r="H6" s="4">
        <v>201.79</v>
      </c>
      <c r="I6" s="4">
        <v>220.403</v>
      </c>
      <c r="J6" s="4">
        <v>201.599</v>
      </c>
      <c r="K6" s="4">
        <v>217.536</v>
      </c>
      <c r="L6" s="4">
        <v>207.933</v>
      </c>
      <c r="M6" s="4">
        <v>177.943</v>
      </c>
      <c r="N6" s="4">
        <v>187.277</v>
      </c>
      <c r="O6" s="4">
        <v>195.669</v>
      </c>
      <c r="P6" s="4">
        <v>186.056</v>
      </c>
      <c r="Q6" s="4">
        <v>186.441</v>
      </c>
      <c r="R6" s="4">
        <v>196.19</v>
      </c>
      <c r="S6" s="4">
        <v>208.133</v>
      </c>
      <c r="T6" s="4">
        <v>223.59</v>
      </c>
      <c r="U6" s="4">
        <v>220.582</v>
      </c>
      <c r="V6" s="4">
        <v>214.333</v>
      </c>
      <c r="W6" s="4">
        <v>211.601</v>
      </c>
      <c r="X6" s="4">
        <v>189.625</v>
      </c>
      <c r="Y6" s="4">
        <v>183.249</v>
      </c>
    </row>
    <row r="7" spans="1:25">
      <c r="A7" s="4">
        <v>7</v>
      </c>
      <c r="B7" s="4">
        <v>173.517</v>
      </c>
      <c r="C7" s="4">
        <v>164.262</v>
      </c>
      <c r="D7" s="4">
        <v>173.929</v>
      </c>
      <c r="E7" s="4">
        <v>166.331</v>
      </c>
      <c r="F7" s="4">
        <v>175.428</v>
      </c>
      <c r="G7" s="4">
        <v>175.799</v>
      </c>
      <c r="H7" s="4">
        <v>190.48</v>
      </c>
      <c r="I7" s="4">
        <v>219.632</v>
      </c>
      <c r="J7" s="4">
        <v>224.858</v>
      </c>
      <c r="K7" s="4">
        <v>222.925</v>
      </c>
      <c r="L7" s="4">
        <v>206.079</v>
      </c>
      <c r="M7" s="4">
        <v>195.065</v>
      </c>
      <c r="N7" s="4">
        <v>185.487</v>
      </c>
      <c r="O7" s="4">
        <v>191.241</v>
      </c>
      <c r="P7" s="4">
        <v>212.631</v>
      </c>
      <c r="Q7" s="4">
        <v>167.481</v>
      </c>
      <c r="R7" s="4">
        <v>203.855</v>
      </c>
      <c r="S7" s="4">
        <v>228.674</v>
      </c>
      <c r="T7" s="4">
        <v>226.079</v>
      </c>
      <c r="U7" s="4">
        <v>228.893</v>
      </c>
      <c r="V7" s="4">
        <v>237.185</v>
      </c>
      <c r="W7" s="4">
        <v>200.014</v>
      </c>
      <c r="X7" s="4">
        <v>179.856</v>
      </c>
      <c r="Y7" s="4">
        <v>173.465</v>
      </c>
    </row>
    <row r="8" spans="1:25">
      <c r="A8" s="4">
        <v>8</v>
      </c>
      <c r="B8" s="4">
        <v>177.754</v>
      </c>
      <c r="C8" s="4">
        <v>144.215</v>
      </c>
      <c r="D8" s="4">
        <v>167.472</v>
      </c>
      <c r="E8" s="4">
        <v>171.158</v>
      </c>
      <c r="F8" s="4">
        <v>162.623</v>
      </c>
      <c r="G8" s="4">
        <v>195.401</v>
      </c>
      <c r="H8" s="4">
        <v>218.243</v>
      </c>
      <c r="I8" s="4">
        <v>193.385</v>
      </c>
      <c r="J8" s="4">
        <v>193.584</v>
      </c>
      <c r="K8" s="4">
        <v>201.075</v>
      </c>
      <c r="L8" s="4">
        <v>195.191</v>
      </c>
      <c r="M8" s="4">
        <v>204.734</v>
      </c>
      <c r="N8" s="4">
        <v>197.581</v>
      </c>
      <c r="O8" s="4">
        <v>187.878</v>
      </c>
      <c r="P8" s="4">
        <v>189.43</v>
      </c>
      <c r="Q8" s="4">
        <v>196.859</v>
      </c>
      <c r="R8" s="4">
        <v>197.825</v>
      </c>
      <c r="S8" s="4">
        <v>220.899</v>
      </c>
      <c r="T8" s="4">
        <v>220.594</v>
      </c>
      <c r="U8" s="4">
        <v>226.738</v>
      </c>
      <c r="V8" s="4">
        <v>217.597</v>
      </c>
      <c r="W8" s="4">
        <v>198.473</v>
      </c>
      <c r="X8" s="4">
        <v>209.635</v>
      </c>
      <c r="Y8" s="4">
        <v>170.886</v>
      </c>
    </row>
    <row r="9" spans="1:25">
      <c r="A9" s="4">
        <v>9</v>
      </c>
      <c r="B9" s="4">
        <v>33.11</v>
      </c>
      <c r="C9" s="4">
        <v>30.478</v>
      </c>
      <c r="D9" s="4">
        <v>32.804</v>
      </c>
      <c r="E9" s="4">
        <v>33.398</v>
      </c>
      <c r="F9" s="4">
        <v>33.782</v>
      </c>
      <c r="G9" s="4">
        <v>36.562</v>
      </c>
      <c r="H9" s="4">
        <v>41.156</v>
      </c>
      <c r="I9" s="4">
        <v>46.182</v>
      </c>
      <c r="J9" s="4">
        <v>43.386</v>
      </c>
      <c r="K9" s="4">
        <v>44.446</v>
      </c>
      <c r="L9" s="4">
        <v>40.174</v>
      </c>
      <c r="M9" s="4">
        <v>38.072</v>
      </c>
      <c r="N9" s="4">
        <v>39.708</v>
      </c>
      <c r="O9" s="4">
        <v>37.422</v>
      </c>
      <c r="P9" s="4">
        <v>37.596</v>
      </c>
      <c r="Q9" s="4">
        <v>35.328</v>
      </c>
      <c r="R9" s="4">
        <v>39.448</v>
      </c>
      <c r="S9" s="4">
        <v>44.118</v>
      </c>
      <c r="T9" s="4">
        <v>46.908</v>
      </c>
      <c r="U9" s="4">
        <v>48.618</v>
      </c>
      <c r="V9" s="4">
        <v>45.968</v>
      </c>
      <c r="W9" s="4">
        <v>42.696</v>
      </c>
      <c r="X9" s="4">
        <v>38.99</v>
      </c>
      <c r="Y9" s="4">
        <v>35.992</v>
      </c>
    </row>
    <row r="10" spans="1:25">
      <c r="A10" s="4">
        <v>10</v>
      </c>
      <c r="B10" s="4">
        <v>36.062</v>
      </c>
      <c r="C10" s="4">
        <v>29.844</v>
      </c>
      <c r="D10" s="4">
        <v>33.428</v>
      </c>
      <c r="E10" s="4">
        <v>34.652</v>
      </c>
      <c r="F10" s="4">
        <v>33.074</v>
      </c>
      <c r="G10" s="4">
        <v>36.844</v>
      </c>
      <c r="H10" s="4">
        <v>41.964</v>
      </c>
      <c r="I10" s="4">
        <v>47.864</v>
      </c>
      <c r="J10" s="4">
        <v>44.514</v>
      </c>
      <c r="K10" s="4">
        <v>41.62</v>
      </c>
      <c r="L10" s="4">
        <v>44.628</v>
      </c>
      <c r="M10" s="4">
        <v>37.994</v>
      </c>
      <c r="N10" s="4">
        <v>38.884</v>
      </c>
      <c r="O10" s="4">
        <v>34.99</v>
      </c>
      <c r="P10" s="4">
        <v>37.606</v>
      </c>
      <c r="Q10" s="4">
        <v>40.482</v>
      </c>
      <c r="R10" s="4">
        <v>37.952</v>
      </c>
      <c r="S10" s="4">
        <v>46.826</v>
      </c>
      <c r="T10" s="4">
        <v>46.112</v>
      </c>
      <c r="U10" s="4">
        <v>46.858</v>
      </c>
      <c r="V10" s="4">
        <v>43.802</v>
      </c>
      <c r="W10" s="4">
        <v>41.61</v>
      </c>
      <c r="X10" s="4">
        <v>37.544</v>
      </c>
      <c r="Y10" s="4">
        <v>33.85</v>
      </c>
    </row>
    <row r="11" spans="1:25">
      <c r="A11" s="4">
        <v>11</v>
      </c>
      <c r="B11" s="4">
        <v>32.31</v>
      </c>
      <c r="C11" s="4">
        <v>31.848</v>
      </c>
      <c r="D11" s="4">
        <v>32.726</v>
      </c>
      <c r="E11" s="4">
        <v>29.33</v>
      </c>
      <c r="F11" s="4">
        <v>32.624</v>
      </c>
      <c r="G11" s="4">
        <v>37.142</v>
      </c>
      <c r="H11" s="4">
        <v>40.444</v>
      </c>
      <c r="I11" s="4">
        <v>43.38</v>
      </c>
      <c r="J11" s="4">
        <v>38.638</v>
      </c>
      <c r="K11" s="4">
        <v>38.072</v>
      </c>
      <c r="L11" s="4">
        <v>37.406</v>
      </c>
      <c r="M11" s="4">
        <v>38.432</v>
      </c>
      <c r="N11" s="4">
        <v>35.534</v>
      </c>
      <c r="O11" s="4">
        <v>40.346</v>
      </c>
      <c r="P11" s="4">
        <v>40.86</v>
      </c>
      <c r="Q11" s="4">
        <v>38.752</v>
      </c>
      <c r="R11" s="4">
        <v>41.544</v>
      </c>
      <c r="S11" s="4">
        <v>48.22</v>
      </c>
      <c r="T11" s="4">
        <v>46.292</v>
      </c>
      <c r="U11" s="4">
        <v>48.282</v>
      </c>
      <c r="V11" s="4">
        <v>42.888</v>
      </c>
      <c r="W11" s="4">
        <v>40.454</v>
      </c>
      <c r="X11" s="4">
        <v>39.378</v>
      </c>
      <c r="Y11" s="4">
        <v>32.892</v>
      </c>
    </row>
    <row r="12" spans="1:25">
      <c r="A12" s="4">
        <v>12</v>
      </c>
      <c r="B12" s="4">
        <v>32.746</v>
      </c>
      <c r="C12" s="4">
        <v>33.164</v>
      </c>
      <c r="D12" s="4">
        <v>33.598</v>
      </c>
      <c r="E12" s="4">
        <v>32.102</v>
      </c>
      <c r="F12" s="4">
        <v>34.394</v>
      </c>
      <c r="G12" s="4">
        <v>35.356</v>
      </c>
      <c r="H12" s="4">
        <v>44.234</v>
      </c>
      <c r="I12" s="4">
        <v>45.634</v>
      </c>
      <c r="J12" s="4">
        <v>42.162</v>
      </c>
      <c r="K12" s="4">
        <v>39.484</v>
      </c>
      <c r="L12" s="4">
        <v>41.188</v>
      </c>
      <c r="M12" s="4">
        <v>38.692</v>
      </c>
      <c r="N12" s="4">
        <v>37.022</v>
      </c>
      <c r="O12" s="4">
        <v>39.466</v>
      </c>
      <c r="P12" s="4">
        <v>34.69</v>
      </c>
      <c r="Q12" s="4">
        <v>37.332</v>
      </c>
      <c r="R12" s="4">
        <v>40.072</v>
      </c>
      <c r="S12" s="4">
        <v>45.308</v>
      </c>
      <c r="T12" s="4">
        <v>47.546</v>
      </c>
      <c r="U12" s="4">
        <v>47.202</v>
      </c>
      <c r="V12" s="4">
        <v>42.934</v>
      </c>
      <c r="W12" s="4">
        <v>42.446</v>
      </c>
      <c r="X12" s="4">
        <v>40.212</v>
      </c>
      <c r="Y12" s="4">
        <v>34.762</v>
      </c>
    </row>
    <row r="13" spans="1:25">
      <c r="A13" s="4">
        <v>13</v>
      </c>
      <c r="B13" s="4">
        <v>32.876</v>
      </c>
      <c r="C13" s="4">
        <v>36.208</v>
      </c>
      <c r="D13" s="4">
        <v>34.036</v>
      </c>
      <c r="E13" s="4">
        <v>32.006</v>
      </c>
      <c r="F13" s="4">
        <v>34.806</v>
      </c>
      <c r="G13" s="4">
        <v>38.492</v>
      </c>
      <c r="H13" s="4">
        <v>40.154</v>
      </c>
      <c r="I13" s="4">
        <v>41.818</v>
      </c>
      <c r="J13" s="4">
        <v>39.944</v>
      </c>
      <c r="K13" s="4">
        <v>42.988</v>
      </c>
      <c r="L13" s="4">
        <v>40.64</v>
      </c>
      <c r="M13" s="4">
        <v>41.002</v>
      </c>
      <c r="N13" s="4">
        <v>36.684</v>
      </c>
      <c r="O13" s="4">
        <v>36.172</v>
      </c>
      <c r="P13" s="4">
        <v>40.092</v>
      </c>
      <c r="Q13" s="4">
        <v>36.124</v>
      </c>
      <c r="R13" s="4">
        <v>40.728</v>
      </c>
      <c r="S13" s="4">
        <v>44.72</v>
      </c>
      <c r="T13" s="4">
        <v>46.326</v>
      </c>
      <c r="U13" s="4">
        <v>48.086</v>
      </c>
      <c r="V13" s="4">
        <v>41.344</v>
      </c>
      <c r="W13" s="4">
        <v>39.67</v>
      </c>
      <c r="X13" s="4">
        <v>36.578</v>
      </c>
      <c r="Y13" s="4">
        <v>38.118</v>
      </c>
    </row>
    <row r="14" spans="1:25">
      <c r="A14" s="4">
        <v>14</v>
      </c>
      <c r="B14" s="4">
        <v>32.416</v>
      </c>
      <c r="C14" s="4">
        <v>32.372</v>
      </c>
      <c r="D14" s="4">
        <v>30.462</v>
      </c>
      <c r="E14" s="4">
        <v>32.504</v>
      </c>
      <c r="F14" s="4">
        <v>31.294</v>
      </c>
      <c r="G14" s="4">
        <v>40.8</v>
      </c>
      <c r="H14" s="4">
        <v>43.342</v>
      </c>
      <c r="I14" s="4">
        <v>44.76</v>
      </c>
      <c r="J14" s="4">
        <v>42.628</v>
      </c>
      <c r="K14" s="4">
        <v>44.76</v>
      </c>
      <c r="L14" s="4">
        <v>40.87</v>
      </c>
      <c r="M14" s="4">
        <v>39.036</v>
      </c>
      <c r="N14" s="4">
        <v>37.364</v>
      </c>
      <c r="O14" s="4">
        <v>35.426</v>
      </c>
      <c r="P14" s="4">
        <v>36.614</v>
      </c>
      <c r="Q14" s="4">
        <v>41.514</v>
      </c>
      <c r="R14" s="4">
        <v>40.04</v>
      </c>
      <c r="S14" s="4">
        <v>49.44</v>
      </c>
      <c r="T14" s="4">
        <v>43.034</v>
      </c>
      <c r="U14" s="4">
        <v>45.56</v>
      </c>
      <c r="V14" s="4">
        <v>47.968</v>
      </c>
      <c r="W14" s="4">
        <v>42.886</v>
      </c>
      <c r="X14" s="4">
        <v>39.036</v>
      </c>
      <c r="Y14" s="4">
        <v>34.602</v>
      </c>
    </row>
    <row r="15" spans="1:25">
      <c r="A15" s="4">
        <v>15</v>
      </c>
      <c r="B15" s="4">
        <v>34.984</v>
      </c>
      <c r="C15" s="4">
        <v>30.65</v>
      </c>
      <c r="D15" s="4">
        <v>31.794</v>
      </c>
      <c r="E15" s="4">
        <v>34.336</v>
      </c>
      <c r="F15" s="4">
        <v>35.46</v>
      </c>
      <c r="G15" s="4">
        <v>31.964</v>
      </c>
      <c r="H15" s="4">
        <v>43.344</v>
      </c>
      <c r="I15" s="4">
        <v>48.078</v>
      </c>
      <c r="J15" s="4">
        <v>41.542</v>
      </c>
      <c r="K15" s="4">
        <v>38.648</v>
      </c>
      <c r="L15" s="4">
        <v>40.21</v>
      </c>
      <c r="M15" s="4">
        <v>38.064</v>
      </c>
      <c r="N15" s="4">
        <v>36.848</v>
      </c>
      <c r="O15" s="4">
        <v>37.514</v>
      </c>
      <c r="P15" s="4">
        <v>37.462</v>
      </c>
      <c r="Q15" s="4">
        <v>38.574</v>
      </c>
      <c r="R15" s="4">
        <v>41.206</v>
      </c>
      <c r="S15" s="4">
        <v>44.414</v>
      </c>
      <c r="T15" s="4">
        <v>45.618</v>
      </c>
      <c r="U15" s="4">
        <v>46.04</v>
      </c>
      <c r="V15" s="4">
        <v>39.124</v>
      </c>
      <c r="W15" s="4">
        <v>38.81</v>
      </c>
      <c r="X15" s="4">
        <v>37.67</v>
      </c>
      <c r="Y15" s="4">
        <v>35.684</v>
      </c>
    </row>
    <row r="16" spans="1:25">
      <c r="A16" s="4">
        <v>16</v>
      </c>
      <c r="B16" s="4">
        <v>33.212</v>
      </c>
      <c r="C16" s="4">
        <v>31.644</v>
      </c>
      <c r="D16" s="4">
        <v>32.058</v>
      </c>
      <c r="E16" s="4">
        <v>31.494</v>
      </c>
      <c r="F16" s="4">
        <v>33.844</v>
      </c>
      <c r="G16" s="4">
        <v>36.866</v>
      </c>
      <c r="H16" s="4">
        <v>39.904</v>
      </c>
      <c r="I16" s="4">
        <v>46.314</v>
      </c>
      <c r="J16" s="4">
        <v>38.934</v>
      </c>
      <c r="K16" s="4">
        <v>40.85</v>
      </c>
      <c r="L16" s="4">
        <v>40.788</v>
      </c>
      <c r="M16" s="4">
        <v>40.244</v>
      </c>
      <c r="N16" s="4">
        <v>39.164</v>
      </c>
      <c r="O16" s="4">
        <v>39.552</v>
      </c>
      <c r="P16" s="4">
        <v>39.266</v>
      </c>
      <c r="Q16" s="4">
        <v>37.056</v>
      </c>
      <c r="R16" s="4">
        <v>42.602</v>
      </c>
      <c r="S16" s="4">
        <v>43.436</v>
      </c>
      <c r="T16" s="4">
        <v>45.794</v>
      </c>
      <c r="U16" s="4">
        <v>44.34</v>
      </c>
      <c r="V16" s="4">
        <v>41.702</v>
      </c>
      <c r="W16" s="4">
        <v>36.994</v>
      </c>
      <c r="X16" s="4">
        <v>41.788</v>
      </c>
      <c r="Y16" s="4">
        <v>34.248</v>
      </c>
    </row>
    <row r="17" spans="1:25">
      <c r="A17" s="4">
        <v>17</v>
      </c>
      <c r="B17" s="4">
        <v>36.63</v>
      </c>
      <c r="C17" s="4">
        <v>33.122</v>
      </c>
      <c r="D17" s="4">
        <v>31.21</v>
      </c>
      <c r="E17" s="4">
        <v>33.008</v>
      </c>
      <c r="F17" s="4">
        <v>33.198</v>
      </c>
      <c r="G17" s="4">
        <v>38.23</v>
      </c>
      <c r="H17" s="4">
        <v>41.862</v>
      </c>
      <c r="I17" s="4">
        <v>41.942</v>
      </c>
      <c r="J17" s="4">
        <v>43.75</v>
      </c>
      <c r="K17" s="4">
        <v>39.73</v>
      </c>
      <c r="L17" s="4">
        <v>39.716</v>
      </c>
      <c r="M17" s="4">
        <v>36.344</v>
      </c>
      <c r="N17" s="4">
        <v>40.286</v>
      </c>
      <c r="O17" s="4">
        <v>39.844</v>
      </c>
      <c r="P17" s="4">
        <v>36.202</v>
      </c>
      <c r="Q17" s="4">
        <v>36.666</v>
      </c>
      <c r="R17" s="4">
        <v>38.752</v>
      </c>
      <c r="S17" s="4">
        <v>43.116</v>
      </c>
      <c r="T17" s="4">
        <v>42.99</v>
      </c>
      <c r="U17" s="4">
        <v>46.664</v>
      </c>
      <c r="V17" s="4">
        <v>40.154</v>
      </c>
      <c r="W17" s="4">
        <v>41.728</v>
      </c>
      <c r="X17" s="4">
        <v>38.908</v>
      </c>
      <c r="Y17" s="4">
        <v>31.676</v>
      </c>
    </row>
    <row r="18" spans="1:25">
      <c r="A18" s="4">
        <v>18</v>
      </c>
      <c r="B18" s="4">
        <v>33.516</v>
      </c>
      <c r="C18" s="4">
        <v>34.034</v>
      </c>
      <c r="D18" s="4">
        <v>30.506</v>
      </c>
      <c r="E18" s="4">
        <v>29.484</v>
      </c>
      <c r="F18" s="4">
        <v>30.926</v>
      </c>
      <c r="G18" s="4">
        <v>35.052</v>
      </c>
      <c r="H18" s="4">
        <v>41.242</v>
      </c>
      <c r="I18" s="4">
        <v>41.248</v>
      </c>
      <c r="J18" s="4">
        <v>43.702</v>
      </c>
      <c r="K18" s="4">
        <v>44.94</v>
      </c>
      <c r="L18" s="4">
        <v>36.816</v>
      </c>
      <c r="M18" s="4">
        <v>40.174</v>
      </c>
      <c r="N18" s="4">
        <v>37.866</v>
      </c>
      <c r="O18" s="4">
        <v>39.272</v>
      </c>
      <c r="P18" s="4">
        <v>38.788</v>
      </c>
      <c r="Q18" s="4">
        <v>37.644</v>
      </c>
      <c r="R18" s="4">
        <v>40.682</v>
      </c>
      <c r="S18" s="4">
        <v>42.804</v>
      </c>
      <c r="T18" s="4">
        <v>49.108</v>
      </c>
      <c r="U18" s="4">
        <v>52.814</v>
      </c>
      <c r="V18" s="4">
        <v>41.584</v>
      </c>
      <c r="W18" s="4">
        <v>40.098</v>
      </c>
      <c r="X18" s="4">
        <v>36.432</v>
      </c>
      <c r="Y18" s="4">
        <v>35.296</v>
      </c>
    </row>
    <row r="19" spans="1:25">
      <c r="A19" s="4">
        <v>19</v>
      </c>
      <c r="B19" s="4">
        <v>183.27</v>
      </c>
      <c r="C19" s="4">
        <v>158.18</v>
      </c>
      <c r="D19" s="4">
        <v>170.717</v>
      </c>
      <c r="E19" s="4">
        <v>155.527</v>
      </c>
      <c r="F19" s="4">
        <v>165.814</v>
      </c>
      <c r="G19" s="4">
        <v>183.344</v>
      </c>
      <c r="H19" s="4">
        <v>226.578</v>
      </c>
      <c r="I19" s="4">
        <v>217.898</v>
      </c>
      <c r="J19" s="4">
        <v>205.628</v>
      </c>
      <c r="K19" s="4">
        <v>196.189</v>
      </c>
      <c r="L19" s="4">
        <v>195.236</v>
      </c>
      <c r="M19" s="4">
        <v>193.016</v>
      </c>
      <c r="N19" s="4">
        <v>197.05</v>
      </c>
      <c r="O19" s="4">
        <v>198.597</v>
      </c>
      <c r="P19" s="4">
        <v>189.193</v>
      </c>
      <c r="Q19" s="4">
        <v>201.858</v>
      </c>
      <c r="R19" s="4">
        <v>204.759</v>
      </c>
      <c r="S19" s="4">
        <v>223.097</v>
      </c>
      <c r="T19" s="4">
        <v>209.655</v>
      </c>
      <c r="U19" s="4">
        <v>230.001</v>
      </c>
      <c r="V19" s="4">
        <v>191.775</v>
      </c>
      <c r="W19" s="4">
        <v>226.979</v>
      </c>
      <c r="X19" s="4">
        <v>191.937</v>
      </c>
      <c r="Y19" s="4">
        <v>191.42</v>
      </c>
    </row>
    <row r="20" spans="1:25">
      <c r="A20" s="4">
        <v>20</v>
      </c>
      <c r="B20" s="4">
        <v>147.262</v>
      </c>
      <c r="C20" s="4">
        <v>161.859</v>
      </c>
      <c r="D20" s="4">
        <v>165.867</v>
      </c>
      <c r="E20" s="4">
        <v>170.648</v>
      </c>
      <c r="F20" s="4">
        <v>167.39</v>
      </c>
      <c r="G20" s="4">
        <v>184.081</v>
      </c>
      <c r="H20" s="4">
        <v>194.723</v>
      </c>
      <c r="I20" s="4">
        <v>214.745</v>
      </c>
      <c r="J20" s="4">
        <v>217.79</v>
      </c>
      <c r="K20" s="4">
        <v>219.066</v>
      </c>
      <c r="L20" s="4">
        <v>203.466</v>
      </c>
      <c r="M20" s="4">
        <v>215.892</v>
      </c>
      <c r="N20" s="4">
        <v>199.012</v>
      </c>
      <c r="O20" s="4">
        <v>208.034</v>
      </c>
      <c r="P20" s="4">
        <v>176.619</v>
      </c>
      <c r="Q20" s="4">
        <v>208.073</v>
      </c>
      <c r="R20" s="4">
        <v>197.946</v>
      </c>
      <c r="S20" s="4">
        <v>212.626</v>
      </c>
      <c r="T20" s="4">
        <v>240.089</v>
      </c>
      <c r="U20" s="4">
        <v>228.363</v>
      </c>
      <c r="V20" s="4">
        <v>229.6</v>
      </c>
      <c r="W20" s="4">
        <v>225.309</v>
      </c>
      <c r="X20" s="4">
        <v>197.343</v>
      </c>
      <c r="Y20" s="4">
        <v>173.55</v>
      </c>
    </row>
    <row r="21" spans="1:25">
      <c r="A21" s="4">
        <v>21</v>
      </c>
      <c r="B21" s="4">
        <v>170.661</v>
      </c>
      <c r="C21" s="4">
        <v>171.495</v>
      </c>
      <c r="D21" s="4">
        <v>153.198</v>
      </c>
      <c r="E21" s="4">
        <v>148.779</v>
      </c>
      <c r="F21" s="4">
        <v>168.846</v>
      </c>
      <c r="G21" s="4">
        <v>177.051</v>
      </c>
      <c r="H21" s="4">
        <v>188.675</v>
      </c>
      <c r="I21" s="4">
        <v>216.639</v>
      </c>
      <c r="J21" s="4">
        <v>197.927</v>
      </c>
      <c r="K21" s="4">
        <v>198.978</v>
      </c>
      <c r="L21" s="4">
        <v>203.711</v>
      </c>
      <c r="M21" s="4">
        <v>188.703</v>
      </c>
      <c r="N21" s="4">
        <v>193.02</v>
      </c>
      <c r="O21" s="4">
        <v>174.955</v>
      </c>
      <c r="P21" s="4">
        <v>191.727</v>
      </c>
      <c r="Q21" s="4">
        <v>190.186</v>
      </c>
      <c r="R21" s="4">
        <v>216.964</v>
      </c>
      <c r="S21" s="4">
        <v>201.544</v>
      </c>
      <c r="T21" s="4">
        <v>231.661</v>
      </c>
      <c r="U21" s="4">
        <v>238.706</v>
      </c>
      <c r="V21" s="4">
        <v>223.339</v>
      </c>
      <c r="W21" s="4">
        <v>204.385</v>
      </c>
      <c r="X21" s="4">
        <v>213.281</v>
      </c>
      <c r="Y21" s="4">
        <v>166.327</v>
      </c>
    </row>
    <row r="22" spans="1:25">
      <c r="A22" s="4">
        <v>22</v>
      </c>
      <c r="B22" s="4">
        <v>170.004</v>
      </c>
      <c r="C22" s="4">
        <v>163.707</v>
      </c>
      <c r="D22" s="4">
        <v>152.06</v>
      </c>
      <c r="E22" s="4">
        <v>174.517</v>
      </c>
      <c r="F22" s="4">
        <v>164.308</v>
      </c>
      <c r="G22" s="4">
        <v>188.973</v>
      </c>
      <c r="H22" s="4">
        <v>208.094</v>
      </c>
      <c r="I22" s="4">
        <v>231.132</v>
      </c>
      <c r="J22" s="4">
        <v>199.089</v>
      </c>
      <c r="K22" s="4">
        <v>213.368</v>
      </c>
      <c r="L22" s="4">
        <v>207.179</v>
      </c>
      <c r="M22" s="4">
        <v>199.16</v>
      </c>
      <c r="N22" s="4">
        <v>189.124</v>
      </c>
      <c r="O22" s="4">
        <v>195.743</v>
      </c>
      <c r="P22" s="4">
        <v>195.412</v>
      </c>
      <c r="Q22" s="4">
        <v>193.984</v>
      </c>
      <c r="R22" s="4">
        <v>188.343</v>
      </c>
      <c r="S22" s="4">
        <v>207.915</v>
      </c>
      <c r="T22" s="4">
        <v>230.844</v>
      </c>
      <c r="U22" s="4">
        <v>210.99</v>
      </c>
      <c r="V22" s="4">
        <v>211.4</v>
      </c>
      <c r="W22" s="4">
        <v>200.647</v>
      </c>
      <c r="X22" s="4">
        <v>193.391</v>
      </c>
      <c r="Y22" s="4">
        <v>167.734</v>
      </c>
    </row>
    <row r="23" spans="1:25">
      <c r="A23" s="4">
        <v>23</v>
      </c>
      <c r="B23" s="4">
        <v>183.848</v>
      </c>
      <c r="C23" s="4">
        <v>162.547</v>
      </c>
      <c r="D23" s="4">
        <v>163.936</v>
      </c>
      <c r="E23" s="4">
        <v>159.042</v>
      </c>
      <c r="F23" s="4">
        <v>175.752</v>
      </c>
      <c r="G23" s="4">
        <v>193.612</v>
      </c>
      <c r="H23" s="4">
        <v>194.975</v>
      </c>
      <c r="I23" s="4">
        <v>219.723</v>
      </c>
      <c r="J23" s="4">
        <v>199.952</v>
      </c>
      <c r="K23" s="4">
        <v>191.792</v>
      </c>
      <c r="L23" s="4">
        <v>223.441</v>
      </c>
      <c r="M23" s="4">
        <v>196.179</v>
      </c>
      <c r="N23" s="4">
        <v>186.535</v>
      </c>
      <c r="O23" s="4">
        <v>190.733</v>
      </c>
      <c r="P23" s="4">
        <v>195.957</v>
      </c>
      <c r="Q23" s="4">
        <v>192.999</v>
      </c>
      <c r="R23" s="4">
        <v>193.219</v>
      </c>
      <c r="S23" s="4">
        <v>227.036</v>
      </c>
      <c r="T23" s="4">
        <v>242.741</v>
      </c>
      <c r="U23" s="4">
        <v>241.796</v>
      </c>
      <c r="V23" s="4">
        <v>208.39</v>
      </c>
      <c r="W23" s="4">
        <v>208.557</v>
      </c>
      <c r="X23" s="4">
        <v>198.525</v>
      </c>
      <c r="Y23" s="4">
        <v>179.689</v>
      </c>
    </row>
    <row r="24" spans="1:25">
      <c r="A24" s="4">
        <v>24</v>
      </c>
      <c r="B24" s="4">
        <v>169.822</v>
      </c>
      <c r="C24" s="4">
        <v>159.216</v>
      </c>
      <c r="D24" s="4">
        <v>154.98</v>
      </c>
      <c r="E24" s="4">
        <v>167.288</v>
      </c>
      <c r="F24" s="4">
        <v>181.144</v>
      </c>
      <c r="G24" s="4">
        <v>184.562</v>
      </c>
      <c r="H24" s="4">
        <v>198.873</v>
      </c>
      <c r="I24" s="4">
        <v>235.402</v>
      </c>
      <c r="J24" s="4">
        <v>211.029</v>
      </c>
      <c r="K24" s="4">
        <v>220.799</v>
      </c>
      <c r="L24" s="4">
        <v>184.476</v>
      </c>
      <c r="M24" s="4">
        <v>184.49</v>
      </c>
      <c r="N24" s="4">
        <v>180.587</v>
      </c>
      <c r="O24" s="4">
        <v>184.092</v>
      </c>
      <c r="P24" s="4">
        <v>184.527</v>
      </c>
      <c r="Q24" s="4">
        <v>174.269</v>
      </c>
      <c r="R24" s="4">
        <v>198.804</v>
      </c>
      <c r="S24" s="4">
        <v>234.313</v>
      </c>
      <c r="T24" s="4">
        <v>231.558</v>
      </c>
      <c r="U24" s="4">
        <v>219.185</v>
      </c>
      <c r="V24" s="4">
        <v>208.201</v>
      </c>
      <c r="W24" s="4">
        <v>207.506</v>
      </c>
      <c r="X24" s="4">
        <v>204.597</v>
      </c>
      <c r="Y24" s="4">
        <v>172.766</v>
      </c>
    </row>
    <row r="25" spans="1:25">
      <c r="A25" s="4">
        <v>25</v>
      </c>
      <c r="B25" s="4">
        <v>182.54</v>
      </c>
      <c r="C25" s="4">
        <v>158.783</v>
      </c>
      <c r="D25" s="4">
        <v>150.891</v>
      </c>
      <c r="E25" s="4">
        <v>153.401</v>
      </c>
      <c r="F25" s="4">
        <v>178.419</v>
      </c>
      <c r="G25" s="4">
        <v>185.898</v>
      </c>
      <c r="H25" s="4">
        <v>208.305</v>
      </c>
      <c r="I25" s="4">
        <v>216.854</v>
      </c>
      <c r="J25" s="4">
        <v>206.628</v>
      </c>
      <c r="K25" s="4">
        <v>182.769</v>
      </c>
      <c r="L25" s="4">
        <v>207.95</v>
      </c>
      <c r="M25" s="4">
        <v>203.567</v>
      </c>
      <c r="N25" s="4">
        <v>189.115</v>
      </c>
      <c r="O25" s="4">
        <v>198.107</v>
      </c>
      <c r="P25" s="4">
        <v>189.747</v>
      </c>
      <c r="Q25" s="4">
        <v>191.261</v>
      </c>
      <c r="R25" s="4">
        <v>198.292</v>
      </c>
      <c r="S25" s="4">
        <v>235.55</v>
      </c>
      <c r="T25" s="4">
        <v>232.46</v>
      </c>
      <c r="U25" s="4">
        <v>235.379</v>
      </c>
      <c r="V25" s="4">
        <v>219.785</v>
      </c>
      <c r="W25" s="4">
        <v>225.442</v>
      </c>
      <c r="X25" s="4">
        <v>197.919</v>
      </c>
      <c r="Y25" s="4">
        <v>185.154</v>
      </c>
    </row>
    <row r="26" spans="1:25">
      <c r="A26" s="4">
        <v>26</v>
      </c>
      <c r="B26" s="4">
        <v>36.698</v>
      </c>
      <c r="C26" s="4">
        <v>34.092</v>
      </c>
      <c r="D26" s="4">
        <v>31.704</v>
      </c>
      <c r="E26" s="4">
        <v>33.828</v>
      </c>
      <c r="F26" s="4">
        <v>33.208</v>
      </c>
      <c r="G26" s="4">
        <v>35.508</v>
      </c>
      <c r="H26" s="4">
        <v>38.322</v>
      </c>
      <c r="I26" s="4">
        <v>43.174</v>
      </c>
      <c r="J26" s="4">
        <v>46.494</v>
      </c>
      <c r="K26" s="4">
        <v>41.74</v>
      </c>
      <c r="L26" s="4">
        <v>40.494</v>
      </c>
      <c r="M26" s="4">
        <v>34.664</v>
      </c>
      <c r="N26" s="4">
        <v>38.654</v>
      </c>
      <c r="O26" s="4">
        <v>38.24</v>
      </c>
      <c r="P26" s="4">
        <v>39.162</v>
      </c>
      <c r="Q26" s="4">
        <v>37.04</v>
      </c>
      <c r="R26" s="4">
        <v>39.166</v>
      </c>
      <c r="S26" s="4">
        <v>49.576</v>
      </c>
      <c r="T26" s="4">
        <v>44.976</v>
      </c>
      <c r="U26" s="4">
        <v>46.41</v>
      </c>
      <c r="V26" s="4">
        <v>40.07</v>
      </c>
      <c r="W26" s="4">
        <v>41.434</v>
      </c>
      <c r="X26" s="4">
        <v>36.924</v>
      </c>
      <c r="Y26" s="4">
        <v>34.808</v>
      </c>
    </row>
    <row r="27" spans="1:25">
      <c r="A27" s="4">
        <v>27</v>
      </c>
      <c r="B27" s="4">
        <v>32.486</v>
      </c>
      <c r="C27" s="4">
        <v>31.518</v>
      </c>
      <c r="D27" s="4">
        <v>30.746</v>
      </c>
      <c r="E27" s="4">
        <v>32.596</v>
      </c>
      <c r="F27" s="4">
        <v>34.158</v>
      </c>
      <c r="G27" s="4">
        <v>38.546</v>
      </c>
      <c r="H27" s="4">
        <v>43.178</v>
      </c>
      <c r="I27" s="4">
        <v>45.188</v>
      </c>
      <c r="J27" s="4">
        <v>42.286</v>
      </c>
      <c r="K27" s="4">
        <v>41.944</v>
      </c>
      <c r="L27" s="4">
        <v>40.146</v>
      </c>
      <c r="M27" s="4">
        <v>35.21</v>
      </c>
      <c r="N27" s="4">
        <v>37.99</v>
      </c>
      <c r="O27" s="4">
        <v>40.546</v>
      </c>
      <c r="P27" s="4">
        <v>38.994</v>
      </c>
      <c r="Q27" s="4">
        <v>37.174</v>
      </c>
      <c r="R27" s="4">
        <v>38.656</v>
      </c>
      <c r="S27" s="4">
        <v>42.03</v>
      </c>
      <c r="T27" s="4">
        <v>49.672</v>
      </c>
      <c r="U27" s="4">
        <v>45.624</v>
      </c>
      <c r="V27" s="4">
        <v>45.484</v>
      </c>
      <c r="W27" s="4">
        <v>44.71</v>
      </c>
      <c r="X27" s="4">
        <v>38.29</v>
      </c>
      <c r="Y27" s="4">
        <v>31.614</v>
      </c>
    </row>
    <row r="28" spans="1:25">
      <c r="A28" s="4">
        <v>28</v>
      </c>
      <c r="B28" s="4">
        <v>31.53</v>
      </c>
      <c r="C28" s="4">
        <v>32.302</v>
      </c>
      <c r="D28" s="4">
        <v>33.466</v>
      </c>
      <c r="E28" s="4">
        <v>34.642</v>
      </c>
      <c r="F28" s="4">
        <v>34.278</v>
      </c>
      <c r="G28" s="4">
        <v>36.34</v>
      </c>
      <c r="H28" s="4">
        <v>41.846</v>
      </c>
      <c r="I28" s="4">
        <v>44.39</v>
      </c>
      <c r="J28" s="4">
        <v>43.63</v>
      </c>
      <c r="K28" s="4">
        <v>39.392</v>
      </c>
      <c r="L28" s="4">
        <v>38.828</v>
      </c>
      <c r="M28" s="4">
        <v>36.452</v>
      </c>
      <c r="N28" s="4">
        <v>38.766</v>
      </c>
      <c r="O28" s="4">
        <v>36.272</v>
      </c>
      <c r="P28" s="4">
        <v>37.24</v>
      </c>
      <c r="Q28" s="4">
        <v>37.7</v>
      </c>
      <c r="R28" s="4">
        <v>41.24</v>
      </c>
      <c r="S28" s="4">
        <v>47.47</v>
      </c>
      <c r="T28" s="4">
        <v>49.356</v>
      </c>
      <c r="U28" s="4">
        <v>44.136</v>
      </c>
      <c r="V28" s="4">
        <v>44.378</v>
      </c>
      <c r="W28" s="4">
        <v>44.776</v>
      </c>
      <c r="X28" s="4">
        <v>37.332</v>
      </c>
      <c r="Y28" s="4">
        <v>34.52</v>
      </c>
    </row>
    <row r="29" spans="1:25">
      <c r="A29" s="4">
        <v>29</v>
      </c>
      <c r="B29" s="4">
        <v>34.964</v>
      </c>
      <c r="C29" s="4">
        <v>30.706</v>
      </c>
      <c r="D29" s="4">
        <v>35.804</v>
      </c>
      <c r="E29" s="4">
        <v>31.706</v>
      </c>
      <c r="F29" s="4">
        <v>32.55</v>
      </c>
      <c r="G29" s="4">
        <v>37.31</v>
      </c>
      <c r="H29" s="4">
        <v>43.896</v>
      </c>
      <c r="I29" s="4">
        <v>43.008</v>
      </c>
      <c r="J29" s="4">
        <v>43.656</v>
      </c>
      <c r="K29" s="4">
        <v>39.094</v>
      </c>
      <c r="L29" s="4">
        <v>39.966</v>
      </c>
      <c r="M29" s="4">
        <v>41.552</v>
      </c>
      <c r="N29" s="4">
        <v>38.436</v>
      </c>
      <c r="O29" s="4">
        <v>36.63</v>
      </c>
      <c r="P29" s="4">
        <v>35.566</v>
      </c>
      <c r="Q29" s="4">
        <v>32.496</v>
      </c>
      <c r="R29" s="4">
        <v>39.486</v>
      </c>
      <c r="S29" s="4">
        <v>44.62</v>
      </c>
      <c r="T29" s="4">
        <v>48.64</v>
      </c>
      <c r="U29" s="4">
        <v>46.732</v>
      </c>
      <c r="V29" s="4">
        <v>43.814</v>
      </c>
      <c r="W29" s="4">
        <v>47.48</v>
      </c>
      <c r="X29" s="4">
        <v>39.966</v>
      </c>
      <c r="Y29" s="4">
        <v>36.552</v>
      </c>
    </row>
    <row r="30" spans="1:25">
      <c r="A30" s="6">
        <v>30</v>
      </c>
      <c r="B30" s="6">
        <v>32.16</v>
      </c>
      <c r="C30" s="6">
        <v>33.356</v>
      </c>
      <c r="D30" s="6">
        <v>29.372</v>
      </c>
      <c r="E30" s="6">
        <v>31.398</v>
      </c>
      <c r="F30" s="6">
        <v>33.576</v>
      </c>
      <c r="G30" s="6">
        <v>38.65</v>
      </c>
      <c r="H30" s="6">
        <v>40.342</v>
      </c>
      <c r="I30" s="6">
        <v>40.012</v>
      </c>
      <c r="J30" s="6">
        <v>43.226</v>
      </c>
      <c r="K30" s="6">
        <v>42.33</v>
      </c>
      <c r="L30" s="6">
        <v>41.59</v>
      </c>
      <c r="M30" s="6">
        <v>40.924</v>
      </c>
      <c r="N30" s="6">
        <v>39.632</v>
      </c>
      <c r="O30" s="6">
        <v>39.08</v>
      </c>
      <c r="P30" s="6">
        <v>38.498</v>
      </c>
      <c r="Q30" s="6">
        <v>36.59</v>
      </c>
      <c r="R30" s="6">
        <v>38.008</v>
      </c>
      <c r="S30" s="6">
        <v>43.398</v>
      </c>
      <c r="T30" s="6">
        <v>48.274</v>
      </c>
      <c r="U30" s="6">
        <v>48.35</v>
      </c>
      <c r="V30" s="6">
        <v>46.032</v>
      </c>
      <c r="W30" s="6">
        <v>41.368</v>
      </c>
      <c r="X30" s="6">
        <v>41.574</v>
      </c>
      <c r="Y30" s="6">
        <v>37.106</v>
      </c>
    </row>
    <row r="31" spans="1:25">
      <c r="A31" s="6">
        <v>31</v>
      </c>
      <c r="B31" s="6">
        <v>33.262</v>
      </c>
      <c r="C31" s="6">
        <v>32.782</v>
      </c>
      <c r="D31" s="6">
        <v>33.446</v>
      </c>
      <c r="E31" s="6">
        <v>31.366</v>
      </c>
      <c r="F31" s="6">
        <v>32.604</v>
      </c>
      <c r="G31" s="6">
        <v>35.962</v>
      </c>
      <c r="H31" s="6">
        <v>42.852</v>
      </c>
      <c r="I31" s="6">
        <v>41.038</v>
      </c>
      <c r="J31" s="6">
        <v>42.844</v>
      </c>
      <c r="K31" s="6">
        <v>38.95</v>
      </c>
      <c r="L31" s="6">
        <v>41.078</v>
      </c>
      <c r="M31" s="6">
        <v>36.566</v>
      </c>
      <c r="N31" s="6">
        <v>37.138</v>
      </c>
      <c r="O31" s="6">
        <v>36.554</v>
      </c>
      <c r="P31" s="6">
        <v>38.584</v>
      </c>
      <c r="Q31" s="6">
        <v>39.422</v>
      </c>
      <c r="R31" s="6">
        <v>42.998</v>
      </c>
      <c r="S31" s="6">
        <v>43.49</v>
      </c>
      <c r="T31" s="6">
        <v>48.734</v>
      </c>
      <c r="U31" s="6">
        <v>47.34</v>
      </c>
      <c r="V31" s="6">
        <v>45.348</v>
      </c>
      <c r="W31" s="6">
        <v>41.166</v>
      </c>
      <c r="X31" s="6">
        <v>38.56</v>
      </c>
      <c r="Y31" s="6">
        <v>37.562</v>
      </c>
    </row>
    <row r="32" spans="1:25">
      <c r="A32" s="6">
        <v>32</v>
      </c>
      <c r="B32" s="6">
        <v>32.568</v>
      </c>
      <c r="C32" s="6">
        <v>33.094</v>
      </c>
      <c r="D32" s="6">
        <v>32.78</v>
      </c>
      <c r="E32" s="6">
        <v>35.816</v>
      </c>
      <c r="F32" s="6">
        <v>33.71</v>
      </c>
      <c r="G32" s="6">
        <v>36.15</v>
      </c>
      <c r="H32" s="6">
        <v>38.69</v>
      </c>
      <c r="I32" s="6">
        <v>44.804</v>
      </c>
      <c r="J32" s="6">
        <v>45.078</v>
      </c>
      <c r="K32" s="6">
        <v>41.02</v>
      </c>
      <c r="L32" s="6">
        <v>36.992</v>
      </c>
      <c r="M32" s="6">
        <v>38.656</v>
      </c>
      <c r="N32" s="6">
        <v>38.12</v>
      </c>
      <c r="O32" s="6">
        <v>38.482</v>
      </c>
      <c r="P32" s="6">
        <v>40.826</v>
      </c>
      <c r="Q32" s="6">
        <v>38.216</v>
      </c>
      <c r="R32" s="6">
        <v>41.412</v>
      </c>
      <c r="S32" s="6">
        <v>46.414</v>
      </c>
      <c r="T32" s="6">
        <v>48.658</v>
      </c>
      <c r="U32" s="6">
        <v>48.972</v>
      </c>
      <c r="V32" s="6">
        <v>43.81</v>
      </c>
      <c r="W32" s="6">
        <v>45.7</v>
      </c>
      <c r="X32" s="6">
        <v>40.638</v>
      </c>
      <c r="Y32" s="6">
        <v>37.062</v>
      </c>
    </row>
    <row r="33" spans="1:25">
      <c r="A33" s="6">
        <v>33</v>
      </c>
      <c r="B33" s="6">
        <v>33.694</v>
      </c>
      <c r="C33" s="6">
        <v>32.336</v>
      </c>
      <c r="D33" s="6">
        <v>30.75</v>
      </c>
      <c r="E33" s="6">
        <v>32.06</v>
      </c>
      <c r="F33" s="6">
        <v>36.3</v>
      </c>
      <c r="G33" s="6">
        <v>36.67</v>
      </c>
      <c r="H33" s="6">
        <v>41.476</v>
      </c>
      <c r="I33" s="6">
        <v>44.646</v>
      </c>
      <c r="J33" s="6">
        <v>39.968</v>
      </c>
      <c r="K33" s="6">
        <v>35.286</v>
      </c>
      <c r="L33" s="6">
        <v>42.044</v>
      </c>
      <c r="M33" s="6">
        <v>37.556</v>
      </c>
      <c r="N33" s="6">
        <v>38.812</v>
      </c>
      <c r="O33" s="6">
        <v>37.482</v>
      </c>
      <c r="P33" s="6">
        <v>35.03</v>
      </c>
      <c r="Q33" s="6">
        <v>37.006</v>
      </c>
      <c r="R33" s="6">
        <v>42.554</v>
      </c>
      <c r="S33" s="6">
        <v>45.882</v>
      </c>
      <c r="T33" s="6">
        <v>47.952</v>
      </c>
      <c r="U33" s="6">
        <v>42.598</v>
      </c>
      <c r="V33" s="6">
        <v>44.646</v>
      </c>
      <c r="W33" s="6">
        <v>40.61</v>
      </c>
      <c r="X33" s="6">
        <v>37.258</v>
      </c>
      <c r="Y33" s="6">
        <v>37.19</v>
      </c>
    </row>
    <row r="34" spans="1:25">
      <c r="A34" s="6" t="s">
        <v>37</v>
      </c>
      <c r="B34" s="6">
        <f t="shared" ref="B34:Y34" si="0">SUM(B2:B33)</f>
        <v>3025.915</v>
      </c>
      <c r="C34" s="6">
        <f t="shared" si="0"/>
        <v>2834.464</v>
      </c>
      <c r="D34" s="6">
        <f t="shared" si="0"/>
        <v>2835.131</v>
      </c>
      <c r="E34" s="6">
        <f t="shared" si="0"/>
        <v>2848.168</v>
      </c>
      <c r="F34" s="6">
        <f t="shared" si="0"/>
        <v>2979.397</v>
      </c>
      <c r="G34" s="6">
        <f t="shared" si="0"/>
        <v>3251.156</v>
      </c>
      <c r="H34" s="6">
        <f t="shared" si="0"/>
        <v>3573.506</v>
      </c>
      <c r="I34" s="6">
        <f t="shared" si="0"/>
        <v>3819.356</v>
      </c>
      <c r="J34" s="6">
        <f t="shared" si="0"/>
        <v>3652.071</v>
      </c>
      <c r="K34" s="6">
        <f t="shared" si="0"/>
        <v>3644.796</v>
      </c>
      <c r="L34" s="6">
        <f t="shared" si="0"/>
        <v>3535.95</v>
      </c>
      <c r="M34" s="6">
        <f t="shared" si="0"/>
        <v>3431.518</v>
      </c>
      <c r="N34" s="6">
        <f t="shared" si="0"/>
        <v>3391.304</v>
      </c>
      <c r="O34" s="6">
        <f t="shared" si="0"/>
        <v>3359.852</v>
      </c>
      <c r="P34" s="6">
        <f t="shared" si="0"/>
        <v>3358.608</v>
      </c>
      <c r="Q34" s="6">
        <f t="shared" si="0"/>
        <v>3357.301</v>
      </c>
      <c r="R34" s="6">
        <f t="shared" si="0"/>
        <v>3488.128</v>
      </c>
      <c r="S34" s="6">
        <f t="shared" si="0"/>
        <v>3914.946</v>
      </c>
      <c r="T34" s="6">
        <f t="shared" si="0"/>
        <v>4073.503</v>
      </c>
      <c r="U34" s="6">
        <f t="shared" si="0"/>
        <v>4046.544</v>
      </c>
      <c r="V34" s="6">
        <f t="shared" si="0"/>
        <v>3826.689</v>
      </c>
      <c r="W34" s="6">
        <f t="shared" si="0"/>
        <v>3723.285</v>
      </c>
      <c r="X34" s="6">
        <f t="shared" si="0"/>
        <v>3429.865</v>
      </c>
      <c r="Y34" s="6">
        <f t="shared" si="0"/>
        <v>3120.502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4"/>
  <sheetViews>
    <sheetView workbookViewId="0">
      <selection activeCell="M39" sqref="M39"/>
    </sheetView>
  </sheetViews>
  <sheetFormatPr defaultColWidth="8.88888888888889" defaultRowHeight="13.8"/>
  <sheetData>
    <row r="1" ht="27.6" customHeight="1" spans="1:25">
      <c r="A1" s="1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  <c r="T1" s="2" t="s">
        <v>31</v>
      </c>
      <c r="U1" s="2" t="s">
        <v>32</v>
      </c>
      <c r="V1" s="2" t="s">
        <v>33</v>
      </c>
      <c r="W1" s="2" t="s">
        <v>34</v>
      </c>
      <c r="X1" s="2" t="s">
        <v>35</v>
      </c>
      <c r="Y1" s="2" t="s">
        <v>36</v>
      </c>
    </row>
    <row r="2" spans="1:25">
      <c r="A2" s="1">
        <v>2</v>
      </c>
      <c r="B2" s="1">
        <v>60.314</v>
      </c>
      <c r="C2" s="1">
        <v>54.8</v>
      </c>
      <c r="D2" s="1">
        <v>50.799</v>
      </c>
      <c r="E2" s="1">
        <v>56.147</v>
      </c>
      <c r="F2" s="1">
        <v>50.769</v>
      </c>
      <c r="G2" s="1">
        <v>59.432</v>
      </c>
      <c r="H2" s="1">
        <v>66.598</v>
      </c>
      <c r="I2" s="1">
        <v>63.062</v>
      </c>
      <c r="J2" s="1">
        <v>64.624</v>
      </c>
      <c r="K2" s="1">
        <v>73.029</v>
      </c>
      <c r="L2" s="1">
        <v>59.223</v>
      </c>
      <c r="M2" s="1">
        <v>64.903</v>
      </c>
      <c r="N2" s="1">
        <v>63.756</v>
      </c>
      <c r="O2" s="1">
        <v>61.68</v>
      </c>
      <c r="P2" s="1">
        <v>65.84</v>
      </c>
      <c r="Q2" s="1">
        <v>61.321</v>
      </c>
      <c r="R2" s="1">
        <v>63.981</v>
      </c>
      <c r="S2" s="1">
        <v>72.933</v>
      </c>
      <c r="T2" s="1">
        <v>70.303</v>
      </c>
      <c r="U2" s="1">
        <v>77.607</v>
      </c>
      <c r="V2" s="1">
        <v>73.331</v>
      </c>
      <c r="W2" s="1">
        <v>68.837</v>
      </c>
      <c r="X2" s="1">
        <v>57.68</v>
      </c>
      <c r="Y2" s="1">
        <v>58.467</v>
      </c>
    </row>
    <row r="3" spans="1:25">
      <c r="A3" s="1">
        <v>3</v>
      </c>
      <c r="B3" s="1">
        <v>59.324</v>
      </c>
      <c r="C3" s="1">
        <v>55.108</v>
      </c>
      <c r="D3" s="1">
        <v>52.531</v>
      </c>
      <c r="E3" s="1">
        <v>51.192</v>
      </c>
      <c r="F3" s="1">
        <v>57.829</v>
      </c>
      <c r="G3" s="1">
        <v>57.801</v>
      </c>
      <c r="H3" s="1">
        <v>63.077</v>
      </c>
      <c r="I3" s="1">
        <v>68.121</v>
      </c>
      <c r="J3" s="1">
        <v>70.161</v>
      </c>
      <c r="K3" s="1">
        <v>69.826</v>
      </c>
      <c r="L3" s="1">
        <v>65.953</v>
      </c>
      <c r="M3" s="1">
        <v>70.174</v>
      </c>
      <c r="N3" s="1">
        <v>69.642</v>
      </c>
      <c r="O3" s="1">
        <v>63.743</v>
      </c>
      <c r="P3" s="1">
        <v>63.78</v>
      </c>
      <c r="Q3" s="1">
        <v>63.782</v>
      </c>
      <c r="R3" s="1">
        <v>61.575</v>
      </c>
      <c r="S3" s="1">
        <v>80.026</v>
      </c>
      <c r="T3" s="1">
        <v>81.242</v>
      </c>
      <c r="U3" s="1">
        <v>72.563</v>
      </c>
      <c r="V3" s="1">
        <v>68.314</v>
      </c>
      <c r="W3" s="1">
        <v>67.13</v>
      </c>
      <c r="X3" s="1">
        <v>63.714</v>
      </c>
      <c r="Y3" s="1">
        <v>57.493</v>
      </c>
    </row>
    <row r="4" spans="1:25">
      <c r="A4" s="1">
        <v>4</v>
      </c>
      <c r="B4" s="1">
        <v>55.58</v>
      </c>
      <c r="C4" s="1">
        <v>53.574</v>
      </c>
      <c r="D4" s="1">
        <v>49.369</v>
      </c>
      <c r="E4" s="1">
        <v>48.529</v>
      </c>
      <c r="F4" s="1">
        <v>55.279</v>
      </c>
      <c r="G4" s="1">
        <v>64.125</v>
      </c>
      <c r="H4" s="1">
        <v>68.975</v>
      </c>
      <c r="I4" s="1">
        <v>75.464</v>
      </c>
      <c r="J4" s="1">
        <v>71.589</v>
      </c>
      <c r="K4" s="1">
        <v>63.629</v>
      </c>
      <c r="L4" s="1">
        <v>69.796</v>
      </c>
      <c r="M4" s="1">
        <v>60.538</v>
      </c>
      <c r="N4" s="1">
        <v>60.258</v>
      </c>
      <c r="O4" s="1">
        <v>57.284</v>
      </c>
      <c r="P4" s="1">
        <v>61.147</v>
      </c>
      <c r="Q4" s="1">
        <v>62.11</v>
      </c>
      <c r="R4" s="1">
        <v>62.821</v>
      </c>
      <c r="S4" s="1">
        <v>76.388</v>
      </c>
      <c r="T4" s="1">
        <v>80.471</v>
      </c>
      <c r="U4" s="1">
        <v>75.341</v>
      </c>
      <c r="V4" s="1">
        <v>73.68</v>
      </c>
      <c r="W4" s="1">
        <v>73.15</v>
      </c>
      <c r="X4" s="1">
        <v>65.026</v>
      </c>
      <c r="Y4" s="1">
        <v>62.733</v>
      </c>
    </row>
    <row r="5" spans="1:25">
      <c r="A5" s="1">
        <v>5</v>
      </c>
      <c r="B5" s="1">
        <v>53.785</v>
      </c>
      <c r="C5" s="1">
        <v>50.693</v>
      </c>
      <c r="D5" s="1">
        <v>51.863</v>
      </c>
      <c r="E5" s="1">
        <v>50.562</v>
      </c>
      <c r="F5" s="1">
        <v>54.228</v>
      </c>
      <c r="G5" s="1">
        <v>62.612</v>
      </c>
      <c r="H5" s="1">
        <v>62.496</v>
      </c>
      <c r="I5" s="1">
        <v>69.469</v>
      </c>
      <c r="J5" s="1">
        <v>65.645</v>
      </c>
      <c r="K5" s="1">
        <v>71.256</v>
      </c>
      <c r="L5" s="1">
        <v>60.65</v>
      </c>
      <c r="M5" s="1">
        <v>61.789</v>
      </c>
      <c r="N5" s="1">
        <v>69.162</v>
      </c>
      <c r="O5" s="1">
        <v>64.303</v>
      </c>
      <c r="P5" s="1">
        <v>60.424</v>
      </c>
      <c r="Q5" s="1">
        <v>68.759</v>
      </c>
      <c r="R5" s="1">
        <v>63.193</v>
      </c>
      <c r="S5" s="1">
        <v>66.428</v>
      </c>
      <c r="T5" s="1">
        <v>76.369</v>
      </c>
      <c r="U5" s="1">
        <v>77.301</v>
      </c>
      <c r="V5" s="1">
        <v>75.244</v>
      </c>
      <c r="W5" s="1">
        <v>73.465</v>
      </c>
      <c r="X5" s="1">
        <v>62.288</v>
      </c>
      <c r="Y5" s="1">
        <v>58.857</v>
      </c>
    </row>
    <row r="6" spans="1:25">
      <c r="A6" s="1">
        <v>6</v>
      </c>
      <c r="B6" s="1">
        <v>54.326</v>
      </c>
      <c r="C6" s="1">
        <v>50.959</v>
      </c>
      <c r="D6" s="1">
        <v>58.842</v>
      </c>
      <c r="E6" s="1">
        <v>55.12</v>
      </c>
      <c r="F6" s="1">
        <v>56.637</v>
      </c>
      <c r="G6" s="1">
        <v>58.417</v>
      </c>
      <c r="H6" s="1">
        <v>66.325</v>
      </c>
      <c r="I6" s="1">
        <v>72.443</v>
      </c>
      <c r="J6" s="1">
        <v>66.262</v>
      </c>
      <c r="K6" s="1">
        <v>71.501</v>
      </c>
      <c r="L6" s="1">
        <v>68.344</v>
      </c>
      <c r="M6" s="1">
        <v>58.487</v>
      </c>
      <c r="N6" s="1">
        <v>61.555</v>
      </c>
      <c r="O6" s="1">
        <v>64.313</v>
      </c>
      <c r="P6" s="1">
        <v>61.154</v>
      </c>
      <c r="Q6" s="1">
        <v>61.28</v>
      </c>
      <c r="R6" s="1">
        <v>64.485</v>
      </c>
      <c r="S6" s="1">
        <v>68.41</v>
      </c>
      <c r="T6" s="1">
        <v>73.491</v>
      </c>
      <c r="U6" s="1">
        <v>72.502</v>
      </c>
      <c r="V6" s="1">
        <v>70.448</v>
      </c>
      <c r="W6" s="1">
        <v>69.55</v>
      </c>
      <c r="X6" s="1">
        <v>62.327</v>
      </c>
      <c r="Y6" s="1">
        <v>60.231</v>
      </c>
    </row>
    <row r="7" spans="1:25">
      <c r="A7" s="1">
        <v>7</v>
      </c>
      <c r="B7" s="1">
        <v>57.032</v>
      </c>
      <c r="C7" s="1">
        <v>53.99</v>
      </c>
      <c r="D7" s="1">
        <v>57.168</v>
      </c>
      <c r="E7" s="1">
        <v>54.67</v>
      </c>
      <c r="F7" s="1">
        <v>57.66</v>
      </c>
      <c r="G7" s="1">
        <v>57.782</v>
      </c>
      <c r="H7" s="1">
        <v>62.608</v>
      </c>
      <c r="I7" s="1">
        <v>72.19</v>
      </c>
      <c r="J7" s="1">
        <v>73.907</v>
      </c>
      <c r="K7" s="1">
        <v>73.272</v>
      </c>
      <c r="L7" s="1">
        <v>67.735</v>
      </c>
      <c r="M7" s="1">
        <v>64.115</v>
      </c>
      <c r="N7" s="1">
        <v>60.967</v>
      </c>
      <c r="O7" s="1">
        <v>62.858</v>
      </c>
      <c r="P7" s="1">
        <v>69.888</v>
      </c>
      <c r="Q7" s="1">
        <v>55.048</v>
      </c>
      <c r="R7" s="1">
        <v>67.004</v>
      </c>
      <c r="S7" s="1">
        <v>75.161</v>
      </c>
      <c r="T7" s="1">
        <v>74.309</v>
      </c>
      <c r="U7" s="1">
        <v>75.234</v>
      </c>
      <c r="V7" s="1">
        <v>77.959</v>
      </c>
      <c r="W7" s="1">
        <v>65.741</v>
      </c>
      <c r="X7" s="1">
        <v>59.116</v>
      </c>
      <c r="Y7" s="1">
        <v>57.015</v>
      </c>
    </row>
    <row r="8" spans="1:25">
      <c r="A8" s="1">
        <v>8</v>
      </c>
      <c r="B8" s="1">
        <v>58.425</v>
      </c>
      <c r="C8" s="1">
        <v>47.401</v>
      </c>
      <c r="D8" s="1">
        <v>55.045</v>
      </c>
      <c r="E8" s="1">
        <v>56.257</v>
      </c>
      <c r="F8" s="1">
        <v>53.452</v>
      </c>
      <c r="G8" s="1">
        <v>64.225</v>
      </c>
      <c r="H8" s="1">
        <v>71.733</v>
      </c>
      <c r="I8" s="1">
        <v>63.563</v>
      </c>
      <c r="J8" s="1">
        <v>63.628</v>
      </c>
      <c r="K8" s="1">
        <v>66.09</v>
      </c>
      <c r="L8" s="1">
        <v>64.156</v>
      </c>
      <c r="M8" s="1">
        <v>67.293</v>
      </c>
      <c r="N8" s="1">
        <v>64.942</v>
      </c>
      <c r="O8" s="1">
        <v>61.752</v>
      </c>
      <c r="P8" s="1">
        <v>62.262</v>
      </c>
      <c r="Q8" s="1">
        <v>64.704</v>
      </c>
      <c r="R8" s="1">
        <v>65.022</v>
      </c>
      <c r="S8" s="1">
        <v>72.606</v>
      </c>
      <c r="T8" s="1">
        <v>72.506</v>
      </c>
      <c r="U8" s="1">
        <v>74.525</v>
      </c>
      <c r="V8" s="1">
        <v>71.521</v>
      </c>
      <c r="W8" s="1">
        <v>65.235</v>
      </c>
      <c r="X8" s="1">
        <v>68.904</v>
      </c>
      <c r="Y8" s="1">
        <v>56.168</v>
      </c>
    </row>
    <row r="9" spans="1:25">
      <c r="A9" s="1">
        <v>9</v>
      </c>
      <c r="B9" s="1">
        <v>10.882</v>
      </c>
      <c r="C9" s="1">
        <v>10.018</v>
      </c>
      <c r="D9" s="1">
        <v>10.782</v>
      </c>
      <c r="E9" s="1">
        <v>10.978</v>
      </c>
      <c r="F9" s="1">
        <v>11.104</v>
      </c>
      <c r="G9" s="1">
        <v>12.018</v>
      </c>
      <c r="H9" s="1">
        <v>13.528</v>
      </c>
      <c r="I9" s="1">
        <v>15.18</v>
      </c>
      <c r="J9" s="1">
        <v>14.26</v>
      </c>
      <c r="K9" s="1">
        <v>14.608</v>
      </c>
      <c r="L9" s="1">
        <v>13.204</v>
      </c>
      <c r="M9" s="1">
        <v>12.514</v>
      </c>
      <c r="N9" s="1">
        <v>13.052</v>
      </c>
      <c r="O9" s="1">
        <v>12.3</v>
      </c>
      <c r="P9" s="1">
        <v>12.358</v>
      </c>
      <c r="Q9" s="1">
        <v>11.612</v>
      </c>
      <c r="R9" s="1">
        <v>12.966</v>
      </c>
      <c r="S9" s="1">
        <v>14.502</v>
      </c>
      <c r="T9" s="1">
        <v>15.418</v>
      </c>
      <c r="U9" s="1">
        <v>15.98</v>
      </c>
      <c r="V9" s="1">
        <v>15.108</v>
      </c>
      <c r="W9" s="1">
        <v>14.034</v>
      </c>
      <c r="X9" s="1">
        <v>12.816</v>
      </c>
      <c r="Y9" s="1">
        <v>11.83</v>
      </c>
    </row>
    <row r="10" spans="1:25">
      <c r="A10" s="1">
        <v>10</v>
      </c>
      <c r="B10" s="1">
        <v>11.852</v>
      </c>
      <c r="C10" s="1">
        <v>9.81</v>
      </c>
      <c r="D10" s="1">
        <v>10.988</v>
      </c>
      <c r="E10" s="1">
        <v>11.39</v>
      </c>
      <c r="F10" s="1">
        <v>10.87</v>
      </c>
      <c r="G10" s="1">
        <v>12.11</v>
      </c>
      <c r="H10" s="1">
        <v>13.792</v>
      </c>
      <c r="I10" s="1">
        <v>15.732</v>
      </c>
      <c r="J10" s="1">
        <v>14.63</v>
      </c>
      <c r="K10" s="1">
        <v>13.68</v>
      </c>
      <c r="L10" s="1">
        <v>14.668</v>
      </c>
      <c r="M10" s="1">
        <v>12.488</v>
      </c>
      <c r="N10" s="1">
        <v>12.78</v>
      </c>
      <c r="O10" s="1">
        <v>11.5</v>
      </c>
      <c r="P10" s="1">
        <v>12.36</v>
      </c>
      <c r="Q10" s="1">
        <v>13.306</v>
      </c>
      <c r="R10" s="1">
        <v>12.474</v>
      </c>
      <c r="S10" s="1">
        <v>15.39</v>
      </c>
      <c r="T10" s="1">
        <v>15.156</v>
      </c>
      <c r="U10" s="1">
        <v>15.402</v>
      </c>
      <c r="V10" s="1">
        <v>14.398</v>
      </c>
      <c r="W10" s="1">
        <v>13.676</v>
      </c>
      <c r="X10" s="1">
        <v>12.34</v>
      </c>
      <c r="Y10" s="1">
        <v>11.126</v>
      </c>
    </row>
    <row r="11" spans="1:25">
      <c r="A11" s="1">
        <v>11</v>
      </c>
      <c r="B11" s="1">
        <v>10.62</v>
      </c>
      <c r="C11" s="1">
        <v>10.468</v>
      </c>
      <c r="D11" s="1">
        <v>10.756</v>
      </c>
      <c r="E11" s="1">
        <v>9.64</v>
      </c>
      <c r="F11" s="1">
        <v>10.722</v>
      </c>
      <c r="G11" s="1">
        <v>12.208</v>
      </c>
      <c r="H11" s="1">
        <v>13.294</v>
      </c>
      <c r="I11" s="1">
        <v>14.258</v>
      </c>
      <c r="J11" s="1">
        <v>12.7</v>
      </c>
      <c r="K11" s="1">
        <v>12.514</v>
      </c>
      <c r="L11" s="1">
        <v>12.294</v>
      </c>
      <c r="M11" s="1">
        <v>12.632</v>
      </c>
      <c r="N11" s="1">
        <v>11.68</v>
      </c>
      <c r="O11" s="1">
        <v>13.262</v>
      </c>
      <c r="P11" s="1">
        <v>13.43</v>
      </c>
      <c r="Q11" s="1">
        <v>12.738</v>
      </c>
      <c r="R11" s="1">
        <v>13.656</v>
      </c>
      <c r="S11" s="1">
        <v>15.85</v>
      </c>
      <c r="T11" s="1">
        <v>15.216</v>
      </c>
      <c r="U11" s="1">
        <v>15.87</v>
      </c>
      <c r="V11" s="1">
        <v>14.096</v>
      </c>
      <c r="W11" s="1">
        <v>13.296</v>
      </c>
      <c r="X11" s="1">
        <v>12.942</v>
      </c>
      <c r="Y11" s="1">
        <v>10.812</v>
      </c>
    </row>
    <row r="12" spans="1:25">
      <c r="A12" s="1">
        <v>12</v>
      </c>
      <c r="B12" s="1">
        <v>10.762</v>
      </c>
      <c r="C12" s="1">
        <v>10.9</v>
      </c>
      <c r="D12" s="1">
        <v>11.042</v>
      </c>
      <c r="E12" s="1">
        <v>10.552</v>
      </c>
      <c r="F12" s="1">
        <v>11.304</v>
      </c>
      <c r="G12" s="1">
        <v>11.622</v>
      </c>
      <c r="H12" s="1">
        <v>14.538</v>
      </c>
      <c r="I12" s="1">
        <v>15</v>
      </c>
      <c r="J12" s="1">
        <v>13.858</v>
      </c>
      <c r="K12" s="1">
        <v>12.978</v>
      </c>
      <c r="L12" s="1">
        <v>13.538</v>
      </c>
      <c r="M12" s="1">
        <v>12.718</v>
      </c>
      <c r="N12" s="1">
        <v>12.168</v>
      </c>
      <c r="O12" s="1">
        <v>12.972</v>
      </c>
      <c r="P12" s="1">
        <v>11.402</v>
      </c>
      <c r="Q12" s="1">
        <v>12.27</v>
      </c>
      <c r="R12" s="1">
        <v>13.172</v>
      </c>
      <c r="S12" s="1">
        <v>14.892</v>
      </c>
      <c r="T12" s="1">
        <v>15.628</v>
      </c>
      <c r="U12" s="1">
        <v>15.514</v>
      </c>
      <c r="V12" s="1">
        <v>14.112</v>
      </c>
      <c r="W12" s="1">
        <v>13.952</v>
      </c>
      <c r="X12" s="1">
        <v>13.218</v>
      </c>
      <c r="Y12" s="1">
        <v>11.426</v>
      </c>
    </row>
    <row r="13" spans="1:25">
      <c r="A13" s="1">
        <v>13</v>
      </c>
      <c r="B13" s="1">
        <v>10.806</v>
      </c>
      <c r="C13" s="1">
        <v>11.9</v>
      </c>
      <c r="D13" s="1">
        <v>11.188</v>
      </c>
      <c r="E13" s="1">
        <v>10.52</v>
      </c>
      <c r="F13" s="1">
        <v>11.44</v>
      </c>
      <c r="G13" s="1">
        <v>12.652</v>
      </c>
      <c r="H13" s="1">
        <v>13.198</v>
      </c>
      <c r="I13" s="1">
        <v>13.744</v>
      </c>
      <c r="J13" s="1">
        <v>13.13</v>
      </c>
      <c r="K13" s="1">
        <v>14.13</v>
      </c>
      <c r="L13" s="1">
        <v>13.358</v>
      </c>
      <c r="M13" s="1">
        <v>13.476</v>
      </c>
      <c r="N13" s="1">
        <v>12.058</v>
      </c>
      <c r="O13" s="1">
        <v>11.888</v>
      </c>
      <c r="P13" s="1">
        <v>13.178</v>
      </c>
      <c r="Q13" s="1">
        <v>11.874</v>
      </c>
      <c r="R13" s="1">
        <v>13.386</v>
      </c>
      <c r="S13" s="1">
        <v>14.7</v>
      </c>
      <c r="T13" s="1">
        <v>15.226</v>
      </c>
      <c r="U13" s="1">
        <v>15.806</v>
      </c>
      <c r="V13" s="1">
        <v>13.588</v>
      </c>
      <c r="W13" s="1">
        <v>13.038</v>
      </c>
      <c r="X13" s="1">
        <v>12.022</v>
      </c>
      <c r="Y13" s="1">
        <v>12.528</v>
      </c>
    </row>
    <row r="14" spans="1:25">
      <c r="A14" s="1">
        <v>14</v>
      </c>
      <c r="B14" s="1">
        <v>10.654</v>
      </c>
      <c r="C14" s="1">
        <v>10.64</v>
      </c>
      <c r="D14" s="1">
        <v>10.012</v>
      </c>
      <c r="E14" s="1">
        <v>10.684</v>
      </c>
      <c r="F14" s="1">
        <v>10.286</v>
      </c>
      <c r="G14" s="1">
        <v>13.41</v>
      </c>
      <c r="H14" s="1">
        <v>14.246</v>
      </c>
      <c r="I14" s="1">
        <v>14.712</v>
      </c>
      <c r="J14" s="1">
        <v>14.012</v>
      </c>
      <c r="K14" s="1">
        <v>14.712</v>
      </c>
      <c r="L14" s="1">
        <v>13.434</v>
      </c>
      <c r="M14" s="1">
        <v>12.83</v>
      </c>
      <c r="N14" s="1">
        <v>12.282</v>
      </c>
      <c r="O14" s="1">
        <v>11.644</v>
      </c>
      <c r="P14" s="1">
        <v>12.034</v>
      </c>
      <c r="Q14" s="1">
        <v>13.644</v>
      </c>
      <c r="R14" s="1">
        <v>13.16</v>
      </c>
      <c r="S14" s="1">
        <v>16.25</v>
      </c>
      <c r="T14" s="1">
        <v>14.144</v>
      </c>
      <c r="U14" s="1">
        <v>14.976</v>
      </c>
      <c r="V14" s="1">
        <v>15.766</v>
      </c>
      <c r="W14" s="1">
        <v>14.096</v>
      </c>
      <c r="X14" s="1">
        <v>12.83</v>
      </c>
      <c r="Y14" s="1">
        <v>11.374</v>
      </c>
    </row>
    <row r="15" spans="1:25">
      <c r="A15" s="1">
        <v>15</v>
      </c>
      <c r="B15" s="1">
        <v>11.498</v>
      </c>
      <c r="C15" s="1">
        <v>10.074</v>
      </c>
      <c r="D15" s="1">
        <v>10.45</v>
      </c>
      <c r="E15" s="1">
        <v>11.286</v>
      </c>
      <c r="F15" s="1">
        <v>11.656</v>
      </c>
      <c r="G15" s="1">
        <v>10.506</v>
      </c>
      <c r="H15" s="1">
        <v>14.246</v>
      </c>
      <c r="I15" s="1">
        <v>15.802</v>
      </c>
      <c r="J15" s="1">
        <v>13.654</v>
      </c>
      <c r="K15" s="1">
        <v>12.704</v>
      </c>
      <c r="L15" s="1">
        <v>13.216</v>
      </c>
      <c r="M15" s="1">
        <v>12.512</v>
      </c>
      <c r="N15" s="1">
        <v>12.112</v>
      </c>
      <c r="O15" s="1">
        <v>12.33</v>
      </c>
      <c r="P15" s="1">
        <v>12.312</v>
      </c>
      <c r="Q15" s="1">
        <v>12.678</v>
      </c>
      <c r="R15" s="1">
        <v>13.544</v>
      </c>
      <c r="S15" s="1">
        <v>14.598</v>
      </c>
      <c r="T15" s="1">
        <v>14.994</v>
      </c>
      <c r="U15" s="1">
        <v>15.132</v>
      </c>
      <c r="V15" s="1">
        <v>12.86</v>
      </c>
      <c r="W15" s="1">
        <v>12.756</v>
      </c>
      <c r="X15" s="1">
        <v>12.382</v>
      </c>
      <c r="Y15" s="1">
        <v>11.73</v>
      </c>
    </row>
    <row r="16" spans="1:25">
      <c r="A16" s="1">
        <v>16</v>
      </c>
      <c r="B16" s="1">
        <v>10.916</v>
      </c>
      <c r="C16" s="1">
        <v>10.402</v>
      </c>
      <c r="D16" s="1">
        <v>10.536</v>
      </c>
      <c r="E16" s="1">
        <v>10.352</v>
      </c>
      <c r="F16" s="1">
        <v>11.124</v>
      </c>
      <c r="G16" s="1">
        <v>12.118</v>
      </c>
      <c r="H16" s="1">
        <v>13.116</v>
      </c>
      <c r="I16" s="1">
        <v>15.222</v>
      </c>
      <c r="J16" s="1">
        <v>12.798</v>
      </c>
      <c r="K16" s="1">
        <v>13.426</v>
      </c>
      <c r="L16" s="1">
        <v>13.406</v>
      </c>
      <c r="M16" s="1">
        <v>13.228</v>
      </c>
      <c r="N16" s="1">
        <v>12.872</v>
      </c>
      <c r="O16" s="1">
        <v>13</v>
      </c>
      <c r="P16" s="1">
        <v>12.906</v>
      </c>
      <c r="Q16" s="1">
        <v>12.18</v>
      </c>
      <c r="R16" s="1">
        <v>14.002</v>
      </c>
      <c r="S16" s="1">
        <v>14.278</v>
      </c>
      <c r="T16" s="1">
        <v>15.052</v>
      </c>
      <c r="U16" s="1">
        <v>14.574</v>
      </c>
      <c r="V16" s="1">
        <v>13.706</v>
      </c>
      <c r="W16" s="1">
        <v>12.16</v>
      </c>
      <c r="X16" s="1">
        <v>13.736</v>
      </c>
      <c r="Y16" s="1">
        <v>11.256</v>
      </c>
    </row>
    <row r="17" spans="1:25">
      <c r="A17" s="1">
        <v>17</v>
      </c>
      <c r="B17" s="1">
        <v>12.04</v>
      </c>
      <c r="C17" s="1">
        <v>10.886</v>
      </c>
      <c r="D17" s="1">
        <v>10.258</v>
      </c>
      <c r="E17" s="1">
        <v>10.85</v>
      </c>
      <c r="F17" s="1">
        <v>10.912</v>
      </c>
      <c r="G17" s="1">
        <v>12.566</v>
      </c>
      <c r="H17" s="1">
        <v>13.76</v>
      </c>
      <c r="I17" s="1">
        <v>13.786</v>
      </c>
      <c r="J17" s="1">
        <v>14.38</v>
      </c>
      <c r="K17" s="1">
        <v>13.058</v>
      </c>
      <c r="L17" s="1">
        <v>13.054</v>
      </c>
      <c r="M17" s="1">
        <v>11.946</v>
      </c>
      <c r="N17" s="1">
        <v>13.242</v>
      </c>
      <c r="O17" s="1">
        <v>13.096</v>
      </c>
      <c r="P17" s="1">
        <v>11.898</v>
      </c>
      <c r="Q17" s="1">
        <v>12.052</v>
      </c>
      <c r="R17" s="1">
        <v>12.738</v>
      </c>
      <c r="S17" s="1">
        <v>14.172</v>
      </c>
      <c r="T17" s="1">
        <v>14.13</v>
      </c>
      <c r="U17" s="1">
        <v>15.338</v>
      </c>
      <c r="V17" s="1">
        <v>13.198</v>
      </c>
      <c r="W17" s="1">
        <v>13.716</v>
      </c>
      <c r="X17" s="1">
        <v>12.788</v>
      </c>
      <c r="Y17" s="1">
        <v>10.412</v>
      </c>
    </row>
    <row r="18" spans="1:25">
      <c r="A18" s="1">
        <v>18</v>
      </c>
      <c r="B18" s="1">
        <v>11.016</v>
      </c>
      <c r="C18" s="1">
        <v>11.186</v>
      </c>
      <c r="D18" s="1">
        <v>10.026</v>
      </c>
      <c r="E18" s="1">
        <v>9.69</v>
      </c>
      <c r="F18" s="1">
        <v>10.166</v>
      </c>
      <c r="G18" s="1">
        <v>11.522</v>
      </c>
      <c r="H18" s="1">
        <v>13.556</v>
      </c>
      <c r="I18" s="1">
        <v>13.558</v>
      </c>
      <c r="J18" s="1">
        <v>14.364</v>
      </c>
      <c r="K18" s="1">
        <v>14.77</v>
      </c>
      <c r="L18" s="1">
        <v>12.1</v>
      </c>
      <c r="M18" s="1">
        <v>13.204</v>
      </c>
      <c r="N18" s="1">
        <v>12.446</v>
      </c>
      <c r="O18" s="1">
        <v>12.908</v>
      </c>
      <c r="P18" s="1">
        <v>12.75</v>
      </c>
      <c r="Q18" s="1">
        <v>12.372</v>
      </c>
      <c r="R18" s="1">
        <v>13.372</v>
      </c>
      <c r="S18" s="1">
        <v>14.068</v>
      </c>
      <c r="T18" s="1">
        <v>16.14</v>
      </c>
      <c r="U18" s="1">
        <v>17.358</v>
      </c>
      <c r="V18" s="1">
        <v>13.668</v>
      </c>
      <c r="W18" s="1">
        <v>13.18</v>
      </c>
      <c r="X18" s="1">
        <v>11.974</v>
      </c>
      <c r="Y18" s="1">
        <v>11.602</v>
      </c>
    </row>
    <row r="19" spans="1:25">
      <c r="A19" s="1">
        <v>19</v>
      </c>
      <c r="B19" s="1">
        <v>60.238</v>
      </c>
      <c r="C19" s="1">
        <v>51.991</v>
      </c>
      <c r="D19" s="1">
        <v>56.112</v>
      </c>
      <c r="E19" s="1">
        <v>51.119</v>
      </c>
      <c r="F19" s="1">
        <v>54.5</v>
      </c>
      <c r="G19" s="1">
        <v>60.262</v>
      </c>
      <c r="H19" s="1">
        <v>74.473</v>
      </c>
      <c r="I19" s="1">
        <v>71.619</v>
      </c>
      <c r="J19" s="1">
        <v>67.587</v>
      </c>
      <c r="K19" s="1">
        <v>64.484</v>
      </c>
      <c r="L19" s="1">
        <v>64.171</v>
      </c>
      <c r="M19" s="1">
        <v>63.441</v>
      </c>
      <c r="N19" s="1">
        <v>64.767</v>
      </c>
      <c r="O19" s="1">
        <v>65.276</v>
      </c>
      <c r="P19" s="1">
        <v>62.185</v>
      </c>
      <c r="Q19" s="1">
        <v>66.348</v>
      </c>
      <c r="R19" s="1">
        <v>67.301</v>
      </c>
      <c r="S19" s="1">
        <v>73.329</v>
      </c>
      <c r="T19" s="1">
        <v>68.91</v>
      </c>
      <c r="U19" s="1">
        <v>75.598</v>
      </c>
      <c r="V19" s="1">
        <v>63.033</v>
      </c>
      <c r="W19" s="1">
        <v>74.604</v>
      </c>
      <c r="X19" s="1">
        <v>63.087</v>
      </c>
      <c r="Y19" s="1">
        <v>62.917</v>
      </c>
    </row>
    <row r="20" spans="1:25">
      <c r="A20" s="1">
        <v>20</v>
      </c>
      <c r="B20" s="1">
        <v>48.403</v>
      </c>
      <c r="C20" s="1">
        <v>53.2</v>
      </c>
      <c r="D20" s="1">
        <v>54.518</v>
      </c>
      <c r="E20" s="1">
        <v>56.089</v>
      </c>
      <c r="F20" s="1">
        <v>55.019</v>
      </c>
      <c r="G20" s="1">
        <v>60.505</v>
      </c>
      <c r="H20" s="1">
        <v>64.002</v>
      </c>
      <c r="I20" s="1">
        <v>70.583</v>
      </c>
      <c r="J20" s="1">
        <v>71.584</v>
      </c>
      <c r="K20" s="1">
        <v>72.003</v>
      </c>
      <c r="L20" s="1">
        <v>66.876</v>
      </c>
      <c r="M20" s="1">
        <v>70.96</v>
      </c>
      <c r="N20" s="1">
        <v>65.412</v>
      </c>
      <c r="O20" s="1">
        <v>68.378</v>
      </c>
      <c r="P20" s="1">
        <v>58.052</v>
      </c>
      <c r="Q20" s="1">
        <v>68.39</v>
      </c>
      <c r="R20" s="1">
        <v>65.062</v>
      </c>
      <c r="S20" s="1">
        <v>69.887</v>
      </c>
      <c r="T20" s="1">
        <v>78.914</v>
      </c>
      <c r="U20" s="1">
        <v>75.059</v>
      </c>
      <c r="V20" s="1">
        <v>75.466</v>
      </c>
      <c r="W20" s="1">
        <v>74.055</v>
      </c>
      <c r="X20" s="1">
        <v>64.863</v>
      </c>
      <c r="Y20" s="1">
        <v>57.043</v>
      </c>
    </row>
    <row r="21" spans="1:25">
      <c r="A21" s="1">
        <v>21</v>
      </c>
      <c r="B21" s="1">
        <v>56.093</v>
      </c>
      <c r="C21" s="1">
        <v>56.368</v>
      </c>
      <c r="D21" s="1">
        <v>50.354</v>
      </c>
      <c r="E21" s="1">
        <v>48.901</v>
      </c>
      <c r="F21" s="1">
        <v>55.497</v>
      </c>
      <c r="G21" s="1">
        <v>58.194</v>
      </c>
      <c r="H21" s="1">
        <v>62.014</v>
      </c>
      <c r="I21" s="1">
        <v>71.206</v>
      </c>
      <c r="J21" s="1">
        <v>65.055</v>
      </c>
      <c r="K21" s="1">
        <v>65.401</v>
      </c>
      <c r="L21" s="1">
        <v>66.957</v>
      </c>
      <c r="M21" s="1">
        <v>62.024</v>
      </c>
      <c r="N21" s="1">
        <v>63.443</v>
      </c>
      <c r="O21" s="1">
        <v>57.505</v>
      </c>
      <c r="P21" s="1">
        <v>63.018</v>
      </c>
      <c r="Q21" s="1">
        <v>62.511</v>
      </c>
      <c r="R21" s="1">
        <v>71.313</v>
      </c>
      <c r="S21" s="1">
        <v>66.244</v>
      </c>
      <c r="T21" s="1">
        <v>76.143</v>
      </c>
      <c r="U21" s="1">
        <v>78.459</v>
      </c>
      <c r="V21" s="1">
        <v>73.408</v>
      </c>
      <c r="W21" s="1">
        <v>67.178</v>
      </c>
      <c r="X21" s="1">
        <v>70.102</v>
      </c>
      <c r="Y21" s="1">
        <v>54.669</v>
      </c>
    </row>
    <row r="22" spans="1:25">
      <c r="A22" s="1">
        <v>22</v>
      </c>
      <c r="B22" s="1">
        <v>55.878</v>
      </c>
      <c r="C22" s="1">
        <v>53.808</v>
      </c>
      <c r="D22" s="1">
        <v>49.98</v>
      </c>
      <c r="E22" s="1">
        <v>57.361</v>
      </c>
      <c r="F22" s="1">
        <v>54.006</v>
      </c>
      <c r="G22" s="1">
        <v>62.112</v>
      </c>
      <c r="H22" s="1">
        <v>68.397</v>
      </c>
      <c r="I22" s="1">
        <v>75.97</v>
      </c>
      <c r="J22" s="1">
        <v>65.437</v>
      </c>
      <c r="K22" s="1">
        <v>70.131</v>
      </c>
      <c r="L22" s="1">
        <v>68.096</v>
      </c>
      <c r="M22" s="1">
        <v>65.461</v>
      </c>
      <c r="N22" s="1">
        <v>62.162</v>
      </c>
      <c r="O22" s="1">
        <v>64.337</v>
      </c>
      <c r="P22" s="1">
        <v>64.229</v>
      </c>
      <c r="Q22" s="1">
        <v>63.76</v>
      </c>
      <c r="R22" s="1">
        <v>61.905</v>
      </c>
      <c r="S22" s="1">
        <v>68.338</v>
      </c>
      <c r="T22" s="1">
        <v>75.875</v>
      </c>
      <c r="U22" s="1">
        <v>69.349</v>
      </c>
      <c r="V22" s="1">
        <v>69.484</v>
      </c>
      <c r="W22" s="1">
        <v>65.949</v>
      </c>
      <c r="X22" s="1">
        <v>63.565</v>
      </c>
      <c r="Y22" s="1">
        <v>55.131</v>
      </c>
    </row>
    <row r="23" spans="1:25">
      <c r="A23" s="1">
        <v>23</v>
      </c>
      <c r="B23" s="1">
        <v>60.428</v>
      </c>
      <c r="C23" s="1">
        <v>53.427</v>
      </c>
      <c r="D23" s="1">
        <v>53.883</v>
      </c>
      <c r="E23" s="1">
        <v>52.275</v>
      </c>
      <c r="F23" s="1">
        <v>57.767</v>
      </c>
      <c r="G23" s="1">
        <v>63.637</v>
      </c>
      <c r="H23" s="1">
        <v>64.085</v>
      </c>
      <c r="I23" s="1">
        <v>72.22</v>
      </c>
      <c r="J23" s="1">
        <v>65.721</v>
      </c>
      <c r="K23" s="1">
        <v>63.039</v>
      </c>
      <c r="L23" s="1">
        <v>73.442</v>
      </c>
      <c r="M23" s="1">
        <v>64.481</v>
      </c>
      <c r="N23" s="1">
        <v>61.311</v>
      </c>
      <c r="O23" s="1">
        <v>62.691</v>
      </c>
      <c r="P23" s="1">
        <v>64.408</v>
      </c>
      <c r="Q23" s="1">
        <v>63.436</v>
      </c>
      <c r="R23" s="1">
        <v>63.508</v>
      </c>
      <c r="S23" s="1">
        <v>74.623</v>
      </c>
      <c r="T23" s="1">
        <v>79.785</v>
      </c>
      <c r="U23" s="1">
        <v>79.475</v>
      </c>
      <c r="V23" s="1">
        <v>68.494</v>
      </c>
      <c r="W23" s="1">
        <v>68.549</v>
      </c>
      <c r="X23" s="1">
        <v>65.252</v>
      </c>
      <c r="Y23" s="1">
        <v>59.061</v>
      </c>
    </row>
    <row r="24" spans="1:25">
      <c r="A24" s="1">
        <v>24</v>
      </c>
      <c r="B24" s="1">
        <v>55.818</v>
      </c>
      <c r="C24" s="1">
        <v>52.332</v>
      </c>
      <c r="D24" s="1">
        <v>50.939</v>
      </c>
      <c r="E24" s="1">
        <v>54.985</v>
      </c>
      <c r="F24" s="1">
        <v>59.539</v>
      </c>
      <c r="G24" s="1">
        <v>60.663</v>
      </c>
      <c r="H24" s="1">
        <v>65.366</v>
      </c>
      <c r="I24" s="1">
        <v>77.373</v>
      </c>
      <c r="J24" s="1">
        <v>69.362</v>
      </c>
      <c r="K24" s="1">
        <v>72.573</v>
      </c>
      <c r="L24" s="1">
        <v>60.634</v>
      </c>
      <c r="M24" s="1">
        <v>60.639</v>
      </c>
      <c r="N24" s="1">
        <v>59.356</v>
      </c>
      <c r="O24" s="1">
        <v>60.508</v>
      </c>
      <c r="P24" s="1">
        <v>60.651</v>
      </c>
      <c r="Q24" s="1">
        <v>57.279</v>
      </c>
      <c r="R24" s="1">
        <v>65.344</v>
      </c>
      <c r="S24" s="1">
        <v>77.015</v>
      </c>
      <c r="T24" s="1">
        <v>76.109</v>
      </c>
      <c r="U24" s="1">
        <v>72.042</v>
      </c>
      <c r="V24" s="1">
        <v>68.432</v>
      </c>
      <c r="W24" s="1">
        <v>68.204</v>
      </c>
      <c r="X24" s="1">
        <v>67.248</v>
      </c>
      <c r="Y24" s="1">
        <v>56.786</v>
      </c>
    </row>
    <row r="25" spans="1:25">
      <c r="A25" s="1">
        <v>25</v>
      </c>
      <c r="B25" s="1">
        <v>59.998</v>
      </c>
      <c r="C25" s="1">
        <v>52.189</v>
      </c>
      <c r="D25" s="1">
        <v>49.595</v>
      </c>
      <c r="E25" s="1">
        <v>50.42</v>
      </c>
      <c r="F25" s="1">
        <v>58.644</v>
      </c>
      <c r="G25" s="1">
        <v>61.102</v>
      </c>
      <c r="H25" s="1">
        <v>68.467</v>
      </c>
      <c r="I25" s="1">
        <v>71.276</v>
      </c>
      <c r="J25" s="1">
        <v>67.915</v>
      </c>
      <c r="K25" s="1">
        <v>60.073</v>
      </c>
      <c r="L25" s="1">
        <v>68.35</v>
      </c>
      <c r="M25" s="1">
        <v>66.909</v>
      </c>
      <c r="N25" s="1">
        <v>62.159</v>
      </c>
      <c r="O25" s="1">
        <v>65.115</v>
      </c>
      <c r="P25" s="1">
        <v>62.367</v>
      </c>
      <c r="Q25" s="1">
        <v>62.864</v>
      </c>
      <c r="R25" s="1">
        <v>65.176</v>
      </c>
      <c r="S25" s="1">
        <v>77.422</v>
      </c>
      <c r="T25" s="1">
        <v>76.406</v>
      </c>
      <c r="U25" s="1">
        <v>77.365</v>
      </c>
      <c r="V25" s="1">
        <v>72.24</v>
      </c>
      <c r="W25" s="1">
        <v>74.099</v>
      </c>
      <c r="X25" s="1">
        <v>65.053</v>
      </c>
      <c r="Y25" s="1">
        <v>60.857</v>
      </c>
    </row>
    <row r="26" spans="1:25">
      <c r="A26" s="1">
        <v>26</v>
      </c>
      <c r="B26" s="1">
        <v>12.062</v>
      </c>
      <c r="C26" s="1">
        <v>11.206</v>
      </c>
      <c r="D26" s="1">
        <v>10.42</v>
      </c>
      <c r="E26" s="1">
        <v>11.118</v>
      </c>
      <c r="F26" s="1">
        <v>10.914</v>
      </c>
      <c r="G26" s="1">
        <v>11.67</v>
      </c>
      <c r="H26" s="1">
        <v>12.596</v>
      </c>
      <c r="I26" s="1">
        <v>14.19</v>
      </c>
      <c r="J26" s="1">
        <v>15.282</v>
      </c>
      <c r="K26" s="1">
        <v>13.72</v>
      </c>
      <c r="L26" s="1">
        <v>13.31</v>
      </c>
      <c r="M26" s="1">
        <v>11.394</v>
      </c>
      <c r="N26" s="1">
        <v>12.704</v>
      </c>
      <c r="O26" s="1">
        <v>12.568</v>
      </c>
      <c r="P26" s="1">
        <v>12.872</v>
      </c>
      <c r="Q26" s="1">
        <v>12.174</v>
      </c>
      <c r="R26" s="1">
        <v>12.874</v>
      </c>
      <c r="S26" s="1">
        <v>16.296</v>
      </c>
      <c r="T26" s="1">
        <v>14.782</v>
      </c>
      <c r="U26" s="1">
        <v>15.254</v>
      </c>
      <c r="V26" s="1">
        <v>13.17</v>
      </c>
      <c r="W26" s="1">
        <v>13.618</v>
      </c>
      <c r="X26" s="1">
        <v>12.136</v>
      </c>
      <c r="Y26" s="1">
        <v>11.44</v>
      </c>
    </row>
    <row r="27" spans="1:25">
      <c r="A27" s="1">
        <v>27</v>
      </c>
      <c r="B27" s="1">
        <v>10.678</v>
      </c>
      <c r="C27" s="1">
        <v>10.36</v>
      </c>
      <c r="D27" s="1">
        <v>10.106</v>
      </c>
      <c r="E27" s="1">
        <v>10.714</v>
      </c>
      <c r="F27" s="1">
        <v>11.228</v>
      </c>
      <c r="G27" s="1">
        <v>12.67</v>
      </c>
      <c r="H27" s="1">
        <v>14.192</v>
      </c>
      <c r="I27" s="1">
        <v>14.852</v>
      </c>
      <c r="J27" s="1">
        <v>13.9</v>
      </c>
      <c r="K27" s="1">
        <v>13.786</v>
      </c>
      <c r="L27" s="1">
        <v>13.196</v>
      </c>
      <c r="M27" s="1">
        <v>11.574</v>
      </c>
      <c r="N27" s="1">
        <v>12.486</v>
      </c>
      <c r="O27" s="1">
        <v>13.326</v>
      </c>
      <c r="P27" s="1">
        <v>12.816</v>
      </c>
      <c r="Q27" s="1">
        <v>12.218</v>
      </c>
      <c r="R27" s="1">
        <v>12.706</v>
      </c>
      <c r="S27" s="1">
        <v>13.814</v>
      </c>
      <c r="T27" s="1">
        <v>16.326</v>
      </c>
      <c r="U27" s="1">
        <v>14.996</v>
      </c>
      <c r="V27" s="1">
        <v>14.95</v>
      </c>
      <c r="W27" s="1">
        <v>14.696</v>
      </c>
      <c r="X27" s="1">
        <v>12.586</v>
      </c>
      <c r="Y27" s="1">
        <v>10.392</v>
      </c>
    </row>
    <row r="28" spans="1:25">
      <c r="A28" s="1">
        <v>28</v>
      </c>
      <c r="B28" s="1">
        <v>10.364</v>
      </c>
      <c r="C28" s="1">
        <v>10.618</v>
      </c>
      <c r="D28" s="1">
        <v>11</v>
      </c>
      <c r="E28" s="1">
        <v>11.386</v>
      </c>
      <c r="F28" s="1">
        <v>11.266</v>
      </c>
      <c r="G28" s="1">
        <v>11.944</v>
      </c>
      <c r="H28" s="1">
        <v>13.754</v>
      </c>
      <c r="I28" s="1">
        <v>14.59</v>
      </c>
      <c r="J28" s="1">
        <v>14.34</v>
      </c>
      <c r="K28" s="1">
        <v>12.948</v>
      </c>
      <c r="L28" s="1">
        <v>12.762</v>
      </c>
      <c r="M28" s="1">
        <v>11.982</v>
      </c>
      <c r="N28" s="1">
        <v>12.742</v>
      </c>
      <c r="O28" s="1">
        <v>11.922</v>
      </c>
      <c r="P28" s="1">
        <v>12.24</v>
      </c>
      <c r="Q28" s="1">
        <v>12.392</v>
      </c>
      <c r="R28" s="1">
        <v>13.554</v>
      </c>
      <c r="S28" s="1">
        <v>15.602</v>
      </c>
      <c r="T28" s="1">
        <v>16.222</v>
      </c>
      <c r="U28" s="1">
        <v>14.506</v>
      </c>
      <c r="V28" s="1">
        <v>14.586</v>
      </c>
      <c r="W28" s="1">
        <v>14.718</v>
      </c>
      <c r="X28" s="1">
        <v>12.27</v>
      </c>
      <c r="Y28" s="1">
        <v>11.346</v>
      </c>
    </row>
    <row r="29" spans="1:25">
      <c r="A29" s="1">
        <v>29</v>
      </c>
      <c r="B29" s="3">
        <v>11.492</v>
      </c>
      <c r="C29" s="3">
        <v>10.092</v>
      </c>
      <c r="D29" s="3">
        <v>11.768</v>
      </c>
      <c r="E29" s="3">
        <v>10.422</v>
      </c>
      <c r="F29" s="3">
        <v>10.698</v>
      </c>
      <c r="G29" s="3">
        <v>12.262</v>
      </c>
      <c r="H29" s="3">
        <v>14.428</v>
      </c>
      <c r="I29" s="3">
        <v>14.136</v>
      </c>
      <c r="J29" s="3">
        <v>14.35</v>
      </c>
      <c r="K29" s="3">
        <v>12.85</v>
      </c>
      <c r="L29" s="3">
        <v>13.136</v>
      </c>
      <c r="M29" s="3">
        <v>13.658</v>
      </c>
      <c r="N29" s="3">
        <v>12.634</v>
      </c>
      <c r="O29" s="3">
        <v>12.04</v>
      </c>
      <c r="P29" s="3">
        <v>11.69</v>
      </c>
      <c r="Q29" s="3">
        <v>10.68</v>
      </c>
      <c r="R29" s="3">
        <v>12.978</v>
      </c>
      <c r="S29" s="3">
        <v>14.666</v>
      </c>
      <c r="T29" s="3">
        <v>15.986</v>
      </c>
      <c r="U29" s="3">
        <v>15.36</v>
      </c>
      <c r="V29" s="3">
        <v>14.402</v>
      </c>
      <c r="W29" s="3">
        <v>15.606</v>
      </c>
      <c r="X29" s="3">
        <v>13.136</v>
      </c>
      <c r="Y29" s="3">
        <v>12.014</v>
      </c>
    </row>
    <row r="30" spans="1:25">
      <c r="A30">
        <v>30</v>
      </c>
      <c r="B30">
        <v>10.57</v>
      </c>
      <c r="C30">
        <v>10.964</v>
      </c>
      <c r="D30">
        <v>9.654</v>
      </c>
      <c r="E30">
        <v>10.32</v>
      </c>
      <c r="F30">
        <v>11.036</v>
      </c>
      <c r="G30">
        <v>12.704</v>
      </c>
      <c r="H30">
        <v>13.26</v>
      </c>
      <c r="I30">
        <v>13.152</v>
      </c>
      <c r="J30">
        <v>14.208</v>
      </c>
      <c r="K30">
        <v>13.914</v>
      </c>
      <c r="L30">
        <v>13.67</v>
      </c>
      <c r="M30">
        <v>13.452</v>
      </c>
      <c r="N30">
        <v>13.026</v>
      </c>
      <c r="O30">
        <v>12.844</v>
      </c>
      <c r="P30">
        <v>12.654</v>
      </c>
      <c r="Q30">
        <v>12.026</v>
      </c>
      <c r="R30">
        <v>12.492</v>
      </c>
      <c r="S30">
        <v>14.264</v>
      </c>
      <c r="T30">
        <v>15.868</v>
      </c>
      <c r="U30">
        <v>15.892</v>
      </c>
      <c r="V30">
        <v>15.13</v>
      </c>
      <c r="W30">
        <v>13.596</v>
      </c>
      <c r="X30">
        <v>13.664</v>
      </c>
      <c r="Y30">
        <v>12.196</v>
      </c>
    </row>
    <row r="31" spans="1:25">
      <c r="A31">
        <v>31</v>
      </c>
      <c r="B31">
        <v>10.932</v>
      </c>
      <c r="C31">
        <v>10.776</v>
      </c>
      <c r="D31">
        <v>10.994</v>
      </c>
      <c r="E31">
        <v>10.31</v>
      </c>
      <c r="F31">
        <v>10.716</v>
      </c>
      <c r="G31">
        <v>11.82</v>
      </c>
      <c r="H31">
        <v>14.086</v>
      </c>
      <c r="I31">
        <v>13.488</v>
      </c>
      <c r="J31">
        <v>14.082</v>
      </c>
      <c r="K31">
        <v>12.802</v>
      </c>
      <c r="L31">
        <v>13.502</v>
      </c>
      <c r="M31">
        <v>12.018</v>
      </c>
      <c r="N31">
        <v>12.206</v>
      </c>
      <c r="O31">
        <v>12.014</v>
      </c>
      <c r="P31">
        <v>12.682</v>
      </c>
      <c r="Q31">
        <v>12.958</v>
      </c>
      <c r="R31">
        <v>14.132</v>
      </c>
      <c r="S31">
        <v>14.294</v>
      </c>
      <c r="T31">
        <v>16.018</v>
      </c>
      <c r="U31">
        <v>15.56</v>
      </c>
      <c r="V31">
        <v>14.906</v>
      </c>
      <c r="W31">
        <v>13.53</v>
      </c>
      <c r="X31">
        <v>12.674</v>
      </c>
      <c r="Y31">
        <v>12.346</v>
      </c>
    </row>
    <row r="32" spans="1:25">
      <c r="A32">
        <v>32</v>
      </c>
      <c r="B32">
        <v>10.704</v>
      </c>
      <c r="C32">
        <v>10.878</v>
      </c>
      <c r="D32">
        <v>10.774</v>
      </c>
      <c r="E32">
        <v>11.772</v>
      </c>
      <c r="F32">
        <v>11.08</v>
      </c>
      <c r="G32">
        <v>11.882</v>
      </c>
      <c r="H32">
        <v>12.716</v>
      </c>
      <c r="I32">
        <v>14.726</v>
      </c>
      <c r="J32">
        <v>14.816</v>
      </c>
      <c r="K32">
        <v>13.482</v>
      </c>
      <c r="L32">
        <v>12.158</v>
      </c>
      <c r="M32">
        <v>12.706</v>
      </c>
      <c r="N32">
        <v>12.53</v>
      </c>
      <c r="O32">
        <v>12.648</v>
      </c>
      <c r="P32">
        <v>13.418</v>
      </c>
      <c r="Q32">
        <v>12.56</v>
      </c>
      <c r="R32">
        <v>13.612</v>
      </c>
      <c r="S32">
        <v>15.256</v>
      </c>
      <c r="T32">
        <v>15.994</v>
      </c>
      <c r="U32">
        <v>16.096</v>
      </c>
      <c r="V32">
        <v>14.4</v>
      </c>
      <c r="W32">
        <v>15.022</v>
      </c>
      <c r="X32">
        <v>13.356</v>
      </c>
      <c r="Y32">
        <v>12.182</v>
      </c>
    </row>
    <row r="33" spans="1:25">
      <c r="A33">
        <v>33</v>
      </c>
      <c r="B33">
        <v>11.074</v>
      </c>
      <c r="C33">
        <v>10.628</v>
      </c>
      <c r="D33">
        <v>10.106</v>
      </c>
      <c r="E33">
        <v>10.538</v>
      </c>
      <c r="F33">
        <v>11.932</v>
      </c>
      <c r="G33">
        <v>12.052</v>
      </c>
      <c r="H33">
        <v>13.632</v>
      </c>
      <c r="I33">
        <v>14.674</v>
      </c>
      <c r="J33">
        <v>13.136</v>
      </c>
      <c r="K33">
        <v>11.598</v>
      </c>
      <c r="L33">
        <v>13.82</v>
      </c>
      <c r="M33">
        <v>12.344</v>
      </c>
      <c r="N33">
        <v>12.756</v>
      </c>
      <c r="O33">
        <v>12.32</v>
      </c>
      <c r="P33">
        <v>11.514</v>
      </c>
      <c r="Q33">
        <v>12.164</v>
      </c>
      <c r="R33">
        <v>13.988</v>
      </c>
      <c r="S33">
        <v>15.08</v>
      </c>
      <c r="T33">
        <v>15.762</v>
      </c>
      <c r="U33">
        <v>14.002</v>
      </c>
      <c r="V33">
        <v>14.674</v>
      </c>
      <c r="W33">
        <v>13.348</v>
      </c>
      <c r="X33">
        <v>12.246</v>
      </c>
      <c r="Y33">
        <v>12.224</v>
      </c>
    </row>
    <row r="34" spans="1:25">
      <c r="A34" t="s">
        <v>37</v>
      </c>
      <c r="B34">
        <f t="shared" ref="B34:Y34" si="0">SUM(B2:B33)</f>
        <v>994.564</v>
      </c>
      <c r="C34">
        <f t="shared" si="0"/>
        <v>931.646</v>
      </c>
      <c r="D34">
        <f t="shared" si="0"/>
        <v>931.858</v>
      </c>
      <c r="E34">
        <f t="shared" si="0"/>
        <v>936.149</v>
      </c>
      <c r="F34">
        <f t="shared" si="0"/>
        <v>979.28</v>
      </c>
      <c r="G34">
        <f t="shared" si="0"/>
        <v>1068.605</v>
      </c>
      <c r="H34">
        <f t="shared" si="0"/>
        <v>1174.554</v>
      </c>
      <c r="I34">
        <f t="shared" si="0"/>
        <v>1255.361</v>
      </c>
      <c r="J34">
        <f t="shared" si="0"/>
        <v>1200.377</v>
      </c>
      <c r="K34">
        <f t="shared" si="0"/>
        <v>1197.987</v>
      </c>
      <c r="L34">
        <f t="shared" si="0"/>
        <v>1162.209</v>
      </c>
      <c r="M34">
        <f t="shared" si="0"/>
        <v>1127.89</v>
      </c>
      <c r="N34">
        <f t="shared" si="0"/>
        <v>1114.668</v>
      </c>
      <c r="O34">
        <f t="shared" si="0"/>
        <v>1104.325</v>
      </c>
      <c r="P34">
        <f t="shared" si="0"/>
        <v>1103.919</v>
      </c>
      <c r="Q34">
        <f t="shared" si="0"/>
        <v>1103.49</v>
      </c>
      <c r="R34">
        <f t="shared" si="0"/>
        <v>1146.496</v>
      </c>
      <c r="S34">
        <f t="shared" si="0"/>
        <v>1286.782</v>
      </c>
      <c r="T34">
        <f t="shared" si="0"/>
        <v>1338.895</v>
      </c>
      <c r="U34">
        <f t="shared" si="0"/>
        <v>1330.036</v>
      </c>
      <c r="V34">
        <f t="shared" si="0"/>
        <v>1257.772</v>
      </c>
      <c r="W34">
        <f t="shared" si="0"/>
        <v>1223.784</v>
      </c>
      <c r="X34">
        <f t="shared" si="0"/>
        <v>1127.341</v>
      </c>
      <c r="Y34">
        <f t="shared" si="0"/>
        <v>1025.664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"/>
  <sheetViews>
    <sheetView workbookViewId="0">
      <selection activeCell="A1" sqref="A1"/>
    </sheetView>
  </sheetViews>
  <sheetFormatPr defaultColWidth="8.88888888888889" defaultRowHeight="13.8" outlineLevelRow="1"/>
  <sheetData>
    <row r="1" spans="1:25">
      <c r="A1" s="1"/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  <c r="T1" s="2" t="s">
        <v>31</v>
      </c>
      <c r="U1" s="2" t="s">
        <v>32</v>
      </c>
      <c r="V1" s="2" t="s">
        <v>33</v>
      </c>
      <c r="W1" s="2" t="s">
        <v>34</v>
      </c>
      <c r="X1" s="2" t="s">
        <v>35</v>
      </c>
      <c r="Y1" s="2" t="s">
        <v>36</v>
      </c>
    </row>
    <row r="2" spans="1:25">
      <c r="A2" s="1" t="s">
        <v>38</v>
      </c>
      <c r="B2" s="1">
        <v>40</v>
      </c>
      <c r="C2" s="1">
        <v>40</v>
      </c>
      <c r="D2" s="1">
        <v>40</v>
      </c>
      <c r="E2" s="1">
        <v>40</v>
      </c>
      <c r="F2" s="1">
        <v>40</v>
      </c>
      <c r="G2" s="1">
        <v>40</v>
      </c>
      <c r="H2" s="1">
        <v>40</v>
      </c>
      <c r="I2" s="1">
        <v>60</v>
      </c>
      <c r="J2" s="1">
        <v>60</v>
      </c>
      <c r="K2" s="1">
        <v>75</v>
      </c>
      <c r="L2" s="1">
        <v>75</v>
      </c>
      <c r="M2" s="1">
        <v>60</v>
      </c>
      <c r="N2" s="1">
        <v>60</v>
      </c>
      <c r="O2" s="1">
        <v>75</v>
      </c>
      <c r="P2" s="1">
        <v>75</v>
      </c>
      <c r="Q2" s="1">
        <v>75</v>
      </c>
      <c r="R2" s="1">
        <v>75</v>
      </c>
      <c r="S2" s="1">
        <v>75</v>
      </c>
      <c r="T2" s="1">
        <v>60</v>
      </c>
      <c r="U2" s="1">
        <v>60</v>
      </c>
      <c r="V2" s="1">
        <v>60</v>
      </c>
      <c r="W2" s="1">
        <v>60</v>
      </c>
      <c r="X2" s="1">
        <v>60</v>
      </c>
      <c r="Y2" s="1">
        <v>40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tabSelected="1" workbookViewId="0">
      <selection activeCell="B18" sqref="B18"/>
    </sheetView>
  </sheetViews>
  <sheetFormatPr defaultColWidth="9" defaultRowHeight="13.8" outlineLevelCol="5"/>
  <cols>
    <col min="1" max="1" width="17.1111111111111" customWidth="1"/>
    <col min="2" max="2" width="20" customWidth="1"/>
    <col min="3" max="3" width="22.4444444444444" customWidth="1"/>
    <col min="4" max="4" width="21.4444444444444" customWidth="1"/>
    <col min="5" max="5" width="21.2222222222222" customWidth="1"/>
    <col min="6" max="6" width="23.8888888888889" customWidth="1"/>
  </cols>
  <sheetData>
    <row r="1" spans="1:6">
      <c r="A1" t="s">
        <v>12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</row>
    <row r="2" spans="1:6">
      <c r="A2">
        <v>2</v>
      </c>
      <c r="B2" t="b">
        <v>0</v>
      </c>
      <c r="C2">
        <v>0.8</v>
      </c>
      <c r="D2">
        <v>1.2</v>
      </c>
      <c r="E2">
        <v>5</v>
      </c>
      <c r="F2">
        <v>2</v>
      </c>
    </row>
    <row r="3" spans="1:6">
      <c r="A3">
        <v>3</v>
      </c>
      <c r="B3" t="b">
        <v>0</v>
      </c>
      <c r="C3">
        <v>0.8</v>
      </c>
      <c r="D3">
        <v>1.2</v>
      </c>
      <c r="E3">
        <v>5</v>
      </c>
      <c r="F3">
        <v>2</v>
      </c>
    </row>
    <row r="4" spans="1:6">
      <c r="A4">
        <v>4</v>
      </c>
      <c r="B4" t="b">
        <v>1</v>
      </c>
      <c r="C4">
        <v>0.8</v>
      </c>
      <c r="D4">
        <v>1.2</v>
      </c>
      <c r="E4">
        <v>5</v>
      </c>
      <c r="F4">
        <v>2</v>
      </c>
    </row>
    <row r="5" spans="1:6">
      <c r="A5">
        <v>5</v>
      </c>
      <c r="B5" t="b">
        <v>0</v>
      </c>
      <c r="C5">
        <v>0.8</v>
      </c>
      <c r="D5">
        <v>1.2</v>
      </c>
      <c r="E5">
        <v>5</v>
      </c>
      <c r="F5">
        <v>2</v>
      </c>
    </row>
    <row r="6" spans="1:6">
      <c r="A6">
        <v>6</v>
      </c>
      <c r="B6" t="b">
        <v>1</v>
      </c>
      <c r="C6">
        <v>0.8</v>
      </c>
      <c r="D6">
        <v>1.2</v>
      </c>
      <c r="E6">
        <v>5</v>
      </c>
      <c r="F6">
        <v>2</v>
      </c>
    </row>
    <row r="7" spans="1:6">
      <c r="A7">
        <v>7</v>
      </c>
      <c r="B7" t="b">
        <v>0</v>
      </c>
      <c r="C7">
        <v>0.8</v>
      </c>
      <c r="D7">
        <v>1.2</v>
      </c>
      <c r="E7">
        <v>5</v>
      </c>
      <c r="F7">
        <v>2</v>
      </c>
    </row>
    <row r="8" spans="1:6">
      <c r="A8">
        <v>8</v>
      </c>
      <c r="B8" t="b">
        <v>1</v>
      </c>
      <c r="C8">
        <v>0.8</v>
      </c>
      <c r="D8">
        <v>1.2</v>
      </c>
      <c r="E8">
        <v>5</v>
      </c>
      <c r="F8">
        <v>2</v>
      </c>
    </row>
    <row r="9" spans="1:6">
      <c r="A9">
        <v>9</v>
      </c>
      <c r="B9" t="b">
        <v>0</v>
      </c>
      <c r="C9">
        <v>0.8</v>
      </c>
      <c r="D9">
        <v>1.2</v>
      </c>
      <c r="E9">
        <v>5</v>
      </c>
      <c r="F9">
        <v>2</v>
      </c>
    </row>
    <row r="10" spans="1:6">
      <c r="A10">
        <v>10</v>
      </c>
      <c r="B10" t="b">
        <v>0</v>
      </c>
      <c r="C10">
        <v>0.8</v>
      </c>
      <c r="D10">
        <v>1.2</v>
      </c>
      <c r="E10">
        <v>5</v>
      </c>
      <c r="F10">
        <v>2</v>
      </c>
    </row>
    <row r="11" spans="1:6">
      <c r="A11">
        <v>11</v>
      </c>
      <c r="B11" t="b">
        <v>0</v>
      </c>
      <c r="C11">
        <v>0.8</v>
      </c>
      <c r="D11">
        <v>1.2</v>
      </c>
      <c r="E11">
        <v>5</v>
      </c>
      <c r="F11">
        <v>2</v>
      </c>
    </row>
    <row r="12" spans="1:6">
      <c r="A12">
        <v>12</v>
      </c>
      <c r="B12" t="b">
        <v>1</v>
      </c>
      <c r="C12">
        <v>0.8</v>
      </c>
      <c r="D12">
        <v>1.2</v>
      </c>
      <c r="E12">
        <v>5</v>
      </c>
      <c r="F12">
        <v>2</v>
      </c>
    </row>
    <row r="13" spans="1:6">
      <c r="A13">
        <v>13</v>
      </c>
      <c r="B13" t="b">
        <v>0</v>
      </c>
      <c r="C13">
        <v>0.8</v>
      </c>
      <c r="D13">
        <v>1.2</v>
      </c>
      <c r="E13">
        <v>5</v>
      </c>
      <c r="F13">
        <v>2</v>
      </c>
    </row>
    <row r="14" spans="1:6">
      <c r="A14">
        <v>14</v>
      </c>
      <c r="B14" t="b">
        <v>0</v>
      </c>
      <c r="C14">
        <v>0.8</v>
      </c>
      <c r="D14">
        <v>1.2</v>
      </c>
      <c r="E14">
        <v>5</v>
      </c>
      <c r="F14">
        <v>2</v>
      </c>
    </row>
    <row r="15" spans="1:6">
      <c r="A15">
        <v>15</v>
      </c>
      <c r="B15" t="b">
        <v>0</v>
      </c>
      <c r="C15">
        <v>0.8</v>
      </c>
      <c r="D15">
        <v>1.2</v>
      </c>
      <c r="E15">
        <v>5</v>
      </c>
      <c r="F15">
        <v>2</v>
      </c>
    </row>
    <row r="16" spans="1:6">
      <c r="A16">
        <v>16</v>
      </c>
      <c r="B16" t="b">
        <v>0</v>
      </c>
      <c r="C16">
        <v>0.8</v>
      </c>
      <c r="D16">
        <v>1.2</v>
      </c>
      <c r="E16">
        <v>5</v>
      </c>
      <c r="F16">
        <v>2</v>
      </c>
    </row>
    <row r="17" spans="1:6">
      <c r="A17">
        <v>17</v>
      </c>
      <c r="B17" t="b">
        <v>0</v>
      </c>
      <c r="C17">
        <v>0.8</v>
      </c>
      <c r="D17">
        <v>1.2</v>
      </c>
      <c r="E17">
        <v>5</v>
      </c>
      <c r="F17">
        <v>2</v>
      </c>
    </row>
    <row r="18" spans="1:6">
      <c r="A18">
        <v>18</v>
      </c>
      <c r="B18" t="b">
        <v>1</v>
      </c>
      <c r="C18">
        <v>0.8</v>
      </c>
      <c r="D18">
        <v>1.2</v>
      </c>
      <c r="E18">
        <v>5</v>
      </c>
      <c r="F18">
        <v>2</v>
      </c>
    </row>
    <row r="19" spans="1:6">
      <c r="A19">
        <v>19</v>
      </c>
      <c r="B19" t="b">
        <v>1</v>
      </c>
      <c r="C19">
        <v>0.8</v>
      </c>
      <c r="D19">
        <v>1.2</v>
      </c>
      <c r="E19">
        <v>5</v>
      </c>
      <c r="F19">
        <v>2</v>
      </c>
    </row>
    <row r="20" spans="1:6">
      <c r="A20">
        <v>20</v>
      </c>
      <c r="B20" t="b">
        <v>1</v>
      </c>
      <c r="C20">
        <v>0.8</v>
      </c>
      <c r="D20">
        <v>1.2</v>
      </c>
      <c r="E20">
        <v>5</v>
      </c>
      <c r="F20">
        <v>2</v>
      </c>
    </row>
    <row r="21" spans="1:6">
      <c r="A21">
        <v>21</v>
      </c>
      <c r="B21" t="b">
        <v>0</v>
      </c>
      <c r="C21">
        <v>0.8</v>
      </c>
      <c r="D21">
        <v>1.2</v>
      </c>
      <c r="E21">
        <v>5</v>
      </c>
      <c r="F21">
        <v>2</v>
      </c>
    </row>
    <row r="22" spans="1:6">
      <c r="A22">
        <v>22</v>
      </c>
      <c r="B22" t="b">
        <v>1</v>
      </c>
      <c r="C22">
        <v>0.8</v>
      </c>
      <c r="D22">
        <v>1.2</v>
      </c>
      <c r="E22">
        <v>5</v>
      </c>
      <c r="F22">
        <v>2</v>
      </c>
    </row>
    <row r="23" spans="1:6">
      <c r="A23">
        <v>23</v>
      </c>
      <c r="B23" t="b">
        <v>1</v>
      </c>
      <c r="C23">
        <v>0.8</v>
      </c>
      <c r="D23">
        <v>1.2</v>
      </c>
      <c r="E23">
        <v>5</v>
      </c>
      <c r="F23">
        <v>2</v>
      </c>
    </row>
    <row r="24" spans="1:6">
      <c r="A24">
        <v>24</v>
      </c>
      <c r="B24" t="b">
        <v>0</v>
      </c>
      <c r="C24">
        <v>0.8</v>
      </c>
      <c r="D24">
        <v>1.2</v>
      </c>
      <c r="E24">
        <v>5</v>
      </c>
      <c r="F24">
        <v>2</v>
      </c>
    </row>
    <row r="25" spans="1:6">
      <c r="A25">
        <v>25</v>
      </c>
      <c r="B25" t="b">
        <v>1</v>
      </c>
      <c r="C25">
        <v>0.8</v>
      </c>
      <c r="D25">
        <v>1.2</v>
      </c>
      <c r="E25">
        <v>5</v>
      </c>
      <c r="F25">
        <v>2</v>
      </c>
    </row>
    <row r="26" spans="1:6">
      <c r="A26">
        <v>26</v>
      </c>
      <c r="B26" t="b">
        <v>0</v>
      </c>
      <c r="C26">
        <v>0.8</v>
      </c>
      <c r="D26">
        <v>1.2</v>
      </c>
      <c r="E26">
        <v>5</v>
      </c>
      <c r="F26">
        <v>2</v>
      </c>
    </row>
    <row r="27" spans="1:6">
      <c r="A27">
        <v>27</v>
      </c>
      <c r="B27" t="b">
        <v>0</v>
      </c>
      <c r="C27">
        <v>0.8</v>
      </c>
      <c r="D27">
        <v>1.2</v>
      </c>
      <c r="E27">
        <v>5</v>
      </c>
      <c r="F27">
        <v>2</v>
      </c>
    </row>
    <row r="28" spans="1:6">
      <c r="A28">
        <v>28</v>
      </c>
      <c r="B28" t="b">
        <v>1</v>
      </c>
      <c r="C28">
        <v>0.8</v>
      </c>
      <c r="D28">
        <v>1.2</v>
      </c>
      <c r="E28">
        <v>5</v>
      </c>
      <c r="F28">
        <v>2</v>
      </c>
    </row>
    <row r="29" spans="1:6">
      <c r="A29">
        <v>29</v>
      </c>
      <c r="B29" t="b">
        <v>0</v>
      </c>
      <c r="C29">
        <v>0.8</v>
      </c>
      <c r="D29">
        <v>1.2</v>
      </c>
      <c r="E29">
        <v>5</v>
      </c>
      <c r="F29">
        <v>2</v>
      </c>
    </row>
    <row r="30" spans="1:6">
      <c r="A30">
        <v>30</v>
      </c>
      <c r="B30" t="b">
        <v>0</v>
      </c>
      <c r="C30">
        <v>0.8</v>
      </c>
      <c r="D30">
        <v>1.2</v>
      </c>
      <c r="E30">
        <v>5</v>
      </c>
      <c r="F30">
        <v>2</v>
      </c>
    </row>
    <row r="31" spans="1:6">
      <c r="A31">
        <v>31</v>
      </c>
      <c r="B31" t="b">
        <v>0</v>
      </c>
      <c r="C31">
        <v>0.8</v>
      </c>
      <c r="D31">
        <v>1.2</v>
      </c>
      <c r="E31">
        <v>5</v>
      </c>
      <c r="F31">
        <v>2</v>
      </c>
    </row>
    <row r="32" spans="1:6">
      <c r="A32">
        <v>32</v>
      </c>
      <c r="B32" t="b">
        <v>0</v>
      </c>
      <c r="C32">
        <v>0.8</v>
      </c>
      <c r="D32">
        <v>1.2</v>
      </c>
      <c r="E32">
        <v>5</v>
      </c>
      <c r="F32">
        <v>2</v>
      </c>
    </row>
    <row r="33" spans="1:6">
      <c r="A33">
        <v>33</v>
      </c>
      <c r="B33" t="b">
        <v>1</v>
      </c>
      <c r="C33">
        <v>0.8</v>
      </c>
      <c r="D33">
        <v>1.2</v>
      </c>
      <c r="E33">
        <v>5</v>
      </c>
      <c r="F33">
        <v>2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Bus data </vt:lpstr>
      <vt:lpstr>Branch data</vt:lpstr>
      <vt:lpstr>Forecasting active load (kW) </vt:lpstr>
      <vt:lpstr>Forecasting reactive load (kVar</vt:lpstr>
      <vt:lpstr>Wholesale  market Price($,MWh) </vt:lpstr>
      <vt:lpstr>Load nodes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xuwei</cp:lastModifiedBy>
  <dcterms:created xsi:type="dcterms:W3CDTF">2015-06-05T18:19:00Z</dcterms:created>
  <dcterms:modified xsi:type="dcterms:W3CDTF">2026-06-14T02:36:58Z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CA27F59034D341A0B41C1AD8C443A7E7_12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